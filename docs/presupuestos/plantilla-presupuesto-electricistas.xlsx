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0&quot;%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0"/>
    </font>
    <font>
      <name val="Calibri"/>
      <b val="1"/>
      <color rgb="000F172A"/>
      <sz val="14"/>
    </font>
    <font>
      <name val="Calibri"/>
      <b val="1"/>
      <color rgb="000F172A"/>
      <sz val="10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F172A"/>
      <sz val="11"/>
    </font>
    <font>
      <name val="Calibri"/>
      <color rgb="000F172A"/>
      <sz val="10"/>
    </font>
    <font>
      <name val="Calibri"/>
      <b val="1"/>
      <color rgb="001D4ED8"/>
      <sz val="13"/>
    </font>
    <font>
      <name val="Calibri"/>
      <b val="1"/>
      <color rgb="00FFFFFF"/>
      <sz val="15"/>
    </font>
    <font>
      <name val="Calibri"/>
      <i val="1"/>
      <color rgb="0092400E"/>
      <sz val="9"/>
    </font>
    <font>
      <name val="Calibri"/>
      <i val="1"/>
      <color rgb="009CA3AF"/>
      <sz val="9"/>
    </font>
  </fonts>
  <fills count="7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FFF9C3"/>
        <bgColor rgb="00FFF9C3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4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8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9" fillId="3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164" fontId="10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10" customWidth="1" min="4" max="4"/>
    <col width="14" customWidth="1" min="5" max="5"/>
    <col width="16" customWidth="1" min="6" max="6"/>
    <col width="4" customWidth="1" min="7" max="7"/>
  </cols>
  <sheetData>
    <row r="1" ht="55" customHeight="1">
      <c r="A1" s="1" t="inlineStr">
        <is>
          <t>MOTOR DE PRESUPUESTOS</t>
        </is>
      </c>
    </row>
    <row r="2" ht="22" customHeight="1">
      <c r="A2" s="2" t="inlineStr">
        <is>
          <t>Plantilla profesional para instaladores eléctricos (REBT RD 842/2002)</t>
        </is>
      </c>
    </row>
    <row r="3" ht="10" customHeight="1"/>
    <row r="4" ht="40" customHeight="1">
      <c r="A4" s="3" t="inlineStr">
        <is>
          <t>PRESUPUESTO DE INSTALACIÓN ELÉCTRICA</t>
        </is>
      </c>
    </row>
    <row r="6" ht="20" customHeight="1">
      <c r="B6" s="4" t="inlineStr">
        <is>
          <t>DATOS DE LA EMPRESA EMISORA</t>
        </is>
      </c>
    </row>
    <row r="7">
      <c r="B7" s="5" t="inlineStr">
        <is>
          <t>Razón social:</t>
        </is>
      </c>
      <c r="C7" s="6" t="inlineStr">
        <is>
          <t>[completar]</t>
        </is>
      </c>
    </row>
    <row r="8">
      <c r="B8" s="5" t="inlineStr">
        <is>
          <t>NIF / CIF:</t>
        </is>
      </c>
      <c r="C8" s="6" t="inlineStr">
        <is>
          <t>[completar]</t>
        </is>
      </c>
    </row>
    <row r="9">
      <c r="B9" s="5" t="inlineStr">
        <is>
          <t>Dirección:</t>
        </is>
      </c>
      <c r="C9" s="6" t="inlineStr">
        <is>
          <t>[completar]</t>
        </is>
      </c>
    </row>
    <row r="10">
      <c r="B10" s="5" t="inlineStr">
        <is>
          <t>Teléfono / Email:</t>
        </is>
      </c>
      <c r="C10" s="6" t="inlineStr">
        <is>
          <t>[completar]</t>
        </is>
      </c>
    </row>
    <row r="12" ht="20" customHeight="1">
      <c r="B12" s="4" t="inlineStr">
        <is>
          <t>DATOS DEL CLIENTE</t>
        </is>
      </c>
    </row>
    <row r="13">
      <c r="B13" s="5" t="inlineStr">
        <is>
          <t>Nombre / Razón social:</t>
        </is>
      </c>
      <c r="C13" s="6" t="inlineStr">
        <is>
          <t>[completar]</t>
        </is>
      </c>
    </row>
    <row r="14">
      <c r="B14" s="5" t="inlineStr">
        <is>
          <t>NIF / CIF:</t>
        </is>
      </c>
      <c r="C14" s="6" t="inlineStr">
        <is>
          <t>[completar]</t>
        </is>
      </c>
    </row>
    <row r="15">
      <c r="B15" s="5" t="inlineStr">
        <is>
          <t>Dirección obra:</t>
        </is>
      </c>
      <c r="C15" s="6" t="inlineStr">
        <is>
          <t>[completar]</t>
        </is>
      </c>
    </row>
    <row r="16">
      <c r="B16" s="5" t="inlineStr">
        <is>
          <t>Fecha presupuesto:</t>
        </is>
      </c>
      <c r="C16" s="6" t="inlineStr">
        <is>
          <t>[completar]</t>
        </is>
      </c>
    </row>
    <row r="17">
      <c r="B17" s="5" t="inlineStr">
        <is>
          <t>Nº presupuesto:</t>
        </is>
      </c>
      <c r="C17" s="6" t="inlineStr">
        <is>
          <t>[completar]</t>
        </is>
      </c>
    </row>
    <row r="18">
      <c r="B18" s="5" t="inlineStr">
        <is>
          <t>Plazo validez:</t>
        </is>
      </c>
      <c r="C18" s="6" t="inlineStr">
        <is>
          <t>[completar]</t>
        </is>
      </c>
    </row>
    <row r="20" ht="28" customHeight="1">
      <c r="A20" s="7" t="inlineStr">
        <is>
          <t>#</t>
        </is>
      </c>
      <c r="B20" s="7" t="inlineStr">
        <is>
          <t>Descripción de la partida</t>
        </is>
      </c>
      <c r="C20" s="7" t="inlineStr">
        <is>
          <t>Ud</t>
        </is>
      </c>
      <c r="D20" s="7" t="inlineStr">
        <is>
          <t>Cantidad</t>
        </is>
      </c>
      <c r="E20" s="7" t="inlineStr">
        <is>
          <t>Precio unit.</t>
        </is>
      </c>
      <c r="F20" s="7" t="inlineStr">
        <is>
          <t>Importe</t>
        </is>
      </c>
    </row>
    <row r="21" ht="22" customHeight="1">
      <c r="A21" s="8" t="inlineStr">
        <is>
          <t>CAPÍTULO 1 — ACOMETIDA Y CUADRO GENERAL</t>
        </is>
      </c>
      <c r="B21" s="9" t="n"/>
      <c r="C21" s="9" t="n"/>
      <c r="D21" s="9" t="n"/>
      <c r="E21" s="9" t="n"/>
      <c r="F21" s="9" t="n"/>
    </row>
    <row r="22" ht="20" customHeight="1">
      <c r="A22" s="10" t="n">
        <v>1</v>
      </c>
      <c r="B22" s="11" t="inlineStr">
        <is>
          <t>Visita previa + cálculo de carga por estancia</t>
        </is>
      </c>
      <c r="C22" s="10" t="inlineStr">
        <is>
          <t>ud</t>
        </is>
      </c>
      <c r="D22" s="12" t="n">
        <v>1</v>
      </c>
      <c r="E22" s="13" t="n">
        <v>140</v>
      </c>
      <c r="F22" s="13">
        <f>D22*E22</f>
        <v/>
      </c>
    </row>
    <row r="23" ht="20" customHeight="1">
      <c r="A23" s="10" t="n">
        <v>2</v>
      </c>
      <c r="B23" s="11" t="inlineStr">
        <is>
          <t>Caja General de Protección 40 A con fusibles</t>
        </is>
      </c>
      <c r="C23" s="10" t="inlineStr">
        <is>
          <t>ud</t>
        </is>
      </c>
      <c r="D23" s="12" t="n">
        <v>1</v>
      </c>
      <c r="E23" s="13" t="n">
        <v>180</v>
      </c>
      <c r="F23" s="13">
        <f>D23*E23</f>
        <v/>
      </c>
    </row>
    <row r="24" ht="20" customHeight="1">
      <c r="A24" s="10" t="n">
        <v>3</v>
      </c>
      <c r="B24" s="11" t="inlineStr">
        <is>
          <t>Línea General de Alimentación cable RZ1-K 0,6/1 kV (ITC-BT-14)</t>
        </is>
      </c>
      <c r="C24" s="10" t="inlineStr">
        <is>
          <t>ml</t>
        </is>
      </c>
      <c r="D24" s="12" t="n">
        <v>18</v>
      </c>
      <c r="E24" s="13" t="n">
        <v>14</v>
      </c>
      <c r="F24" s="13">
        <f>D24*E24</f>
        <v/>
      </c>
    </row>
    <row r="25" ht="20" customHeight="1">
      <c r="A25" s="10" t="n">
        <v>4</v>
      </c>
      <c r="B25" s="11" t="inlineStr">
        <is>
          <t>Cuadro general armario modular con puerta transparente</t>
        </is>
      </c>
      <c r="C25" s="10" t="inlineStr">
        <is>
          <t>ud</t>
        </is>
      </c>
      <c r="D25" s="12" t="n">
        <v>1</v>
      </c>
      <c r="E25" s="13" t="n">
        <v>145</v>
      </c>
      <c r="F25" s="13">
        <f>D25*E25</f>
        <v/>
      </c>
    </row>
    <row r="26" ht="20" customHeight="1">
      <c r="A26" s="10" t="n">
        <v>5</v>
      </c>
      <c r="B26" s="11" t="inlineStr">
        <is>
          <t>ICP 25 A (Interruptor Control Potencia)</t>
        </is>
      </c>
      <c r="C26" s="10" t="inlineStr">
        <is>
          <t>ud</t>
        </is>
      </c>
      <c r="D26" s="12" t="n">
        <v>1</v>
      </c>
      <c r="E26" s="13" t="n">
        <v>45</v>
      </c>
      <c r="F26" s="13">
        <f>D26*E26</f>
        <v/>
      </c>
    </row>
    <row r="27" ht="20" customHeight="1">
      <c r="A27" s="10" t="n">
        <v>6</v>
      </c>
      <c r="B27" s="11" t="inlineStr">
        <is>
          <t>Interruptor General Automático 40 A + diferencial superinmunizado 30 mA (ITC-BT-17)</t>
        </is>
      </c>
      <c r="C27" s="10" t="inlineStr">
        <is>
          <t>ud</t>
        </is>
      </c>
      <c r="D27" s="12" t="n">
        <v>2</v>
      </c>
      <c r="E27" s="13" t="n">
        <v>95</v>
      </c>
      <c r="F27" s="13">
        <f>D27*E27</f>
        <v/>
      </c>
    </row>
    <row r="28" ht="20" customHeight="1">
      <c r="A28" s="10" t="n">
        <v>7</v>
      </c>
      <c r="B28" s="11" t="inlineStr">
        <is>
          <t>Magnetotérmicos monofásicos circuitos C1-C5</t>
        </is>
      </c>
      <c r="C28" s="10" t="inlineStr">
        <is>
          <t>ud</t>
        </is>
      </c>
      <c r="D28" s="12" t="n">
        <v>6</v>
      </c>
      <c r="E28" s="13" t="n">
        <v>28</v>
      </c>
      <c r="F28" s="13">
        <f>D28*E28</f>
        <v/>
      </c>
    </row>
    <row r="29" ht="20" customHeight="1">
      <c r="A29" s="10" t="n">
        <v>8</v>
      </c>
      <c r="B29" s="11" t="inlineStr">
        <is>
          <t>Protector contra sobretensiones transitorias tipo 2</t>
        </is>
      </c>
      <c r="C29" s="10" t="inlineStr">
        <is>
          <t>ud</t>
        </is>
      </c>
      <c r="D29" s="12" t="n">
        <v>1</v>
      </c>
      <c r="E29" s="13" t="n">
        <v>85</v>
      </c>
      <c r="F29" s="13">
        <f>D29*E29</f>
        <v/>
      </c>
    </row>
    <row r="30" ht="22" customHeight="1">
      <c r="A30" s="8" t="inlineStr">
        <is>
          <t>CAPÍTULO 2 — CIRCUITOS INTERIORES (ITC-BT-25)</t>
        </is>
      </c>
      <c r="B30" s="9" t="n"/>
      <c r="C30" s="9" t="n"/>
      <c r="D30" s="9" t="n"/>
      <c r="E30" s="9" t="n"/>
      <c r="F30" s="9" t="n"/>
    </row>
    <row r="31" ht="20" customHeight="1">
      <c r="A31" s="10" t="n">
        <v>9</v>
      </c>
      <c r="B31" s="11" t="inlineStr">
        <is>
          <t>Circuito C1 iluminación — cable H07V-K 1,5 mm² + PA 10 A</t>
        </is>
      </c>
      <c r="C31" s="10" t="inlineStr">
        <is>
          <t>circuito</t>
        </is>
      </c>
      <c r="D31" s="12" t="n">
        <v>2</v>
      </c>
      <c r="E31" s="13" t="n">
        <v>180</v>
      </c>
      <c r="F31" s="13">
        <f>D31*E31</f>
        <v/>
      </c>
    </row>
    <row r="32" ht="20" customHeight="1">
      <c r="A32" s="10" t="n">
        <v>10</v>
      </c>
      <c r="B32" s="11" t="inlineStr">
        <is>
          <t>Circuito C2 tomas uso general — cable 2,5 mm² + PA 16 A</t>
        </is>
      </c>
      <c r="C32" s="10" t="inlineStr">
        <is>
          <t>circuito</t>
        </is>
      </c>
      <c r="D32" s="12" t="n">
        <v>2</v>
      </c>
      <c r="E32" s="13" t="n">
        <v>220</v>
      </c>
      <c r="F32" s="13">
        <f>D32*E32</f>
        <v/>
      </c>
    </row>
    <row r="33" ht="20" customHeight="1">
      <c r="A33" s="10" t="n">
        <v>11</v>
      </c>
      <c r="B33" s="11" t="inlineStr">
        <is>
          <t>Circuito C3 cocina + horno — cable 6 mm² + PA 25 A</t>
        </is>
      </c>
      <c r="C33" s="10" t="inlineStr">
        <is>
          <t>circuito</t>
        </is>
      </c>
      <c r="D33" s="12" t="n">
        <v>1</v>
      </c>
      <c r="E33" s="13" t="n">
        <v>195</v>
      </c>
      <c r="F33" s="13">
        <f>D33*E33</f>
        <v/>
      </c>
    </row>
    <row r="34" ht="20" customHeight="1">
      <c r="A34" s="10" t="n">
        <v>12</v>
      </c>
      <c r="B34" s="11" t="inlineStr">
        <is>
          <t>Circuito C4 lavadora/lavavajillas/termo — cable 4 mm² + PA 20 A</t>
        </is>
      </c>
      <c r="C34" s="10" t="inlineStr">
        <is>
          <t>circuito</t>
        </is>
      </c>
      <c r="D34" s="12" t="n">
        <v>1</v>
      </c>
      <c r="E34" s="13" t="n">
        <v>150</v>
      </c>
      <c r="F34" s="13">
        <f>D34*E34</f>
        <v/>
      </c>
    </row>
    <row r="35" ht="20" customHeight="1">
      <c r="A35" s="10" t="n">
        <v>13</v>
      </c>
      <c r="B35" s="11" t="inlineStr">
        <is>
          <t>Circuito C5 tomas baños + auxiliares cocina — cable 2,5 mm² + diferencial 30 mA</t>
        </is>
      </c>
      <c r="C35" s="10" t="inlineStr">
        <is>
          <t>circuito</t>
        </is>
      </c>
      <c r="D35" s="12" t="n">
        <v>1</v>
      </c>
      <c r="E35" s="13" t="n">
        <v>175</v>
      </c>
      <c r="F35" s="13">
        <f>D35*E35</f>
        <v/>
      </c>
    </row>
    <row r="36" ht="20" customHeight="1">
      <c r="A36" s="10" t="n">
        <v>14</v>
      </c>
      <c r="B36" s="11" t="inlineStr">
        <is>
          <t>Circuito C6 adicional calefacción eléctrica (opcional)</t>
        </is>
      </c>
      <c r="C36" s="10" t="inlineStr">
        <is>
          <t>circuito</t>
        </is>
      </c>
      <c r="D36" s="12" t="n">
        <v>1</v>
      </c>
      <c r="E36" s="13" t="n">
        <v>220</v>
      </c>
      <c r="F36" s="13">
        <f>D36*E36</f>
        <v/>
      </c>
    </row>
    <row r="37" ht="20" customHeight="1">
      <c r="A37" s="10" t="n">
        <v>15</v>
      </c>
      <c r="B37" s="11" t="inlineStr">
        <is>
          <t>Circuito C7 aire acondicionado (opcional)</t>
        </is>
      </c>
      <c r="C37" s="10" t="inlineStr">
        <is>
          <t>circuito</t>
        </is>
      </c>
      <c r="D37" s="12" t="n">
        <v>1</v>
      </c>
      <c r="E37" s="13" t="n">
        <v>210</v>
      </c>
      <c r="F37" s="13">
        <f>D37*E37</f>
        <v/>
      </c>
    </row>
    <row r="38" ht="20" customHeight="1">
      <c r="A38" s="10" t="n">
        <v>16</v>
      </c>
      <c r="B38" s="11" t="inlineStr">
        <is>
          <t>Tubo corrugado reforzado + cajas empotradas PVC</t>
        </is>
      </c>
      <c r="C38" s="10" t="inlineStr">
        <is>
          <t>ml</t>
        </is>
      </c>
      <c r="D38" s="12" t="n">
        <v>180</v>
      </c>
      <c r="E38" s="13" t="n">
        <v>4.5</v>
      </c>
      <c r="F38" s="13">
        <f>D38*E38</f>
        <v/>
      </c>
    </row>
    <row r="39" ht="22" customHeight="1">
      <c r="A39" s="8" t="inlineStr">
        <is>
          <t>CAPÍTULO 3 — PUNTOS DE LUZ Y TOMAS</t>
        </is>
      </c>
      <c r="B39" s="9" t="n"/>
      <c r="C39" s="9" t="n"/>
      <c r="D39" s="9" t="n"/>
      <c r="E39" s="9" t="n"/>
      <c r="F39" s="9" t="n"/>
    </row>
    <row r="40" ht="20" customHeight="1">
      <c r="A40" s="10" t="n">
        <v>17</v>
      </c>
      <c r="B40" s="11" t="inlineStr">
        <is>
          <t>Punto de luz simple con mecanismo empotrado</t>
        </is>
      </c>
      <c r="C40" s="10" t="inlineStr">
        <is>
          <t>ud</t>
        </is>
      </c>
      <c r="D40" s="12" t="n">
        <v>18</v>
      </c>
      <c r="E40" s="13" t="n">
        <v>42</v>
      </c>
      <c r="F40" s="13">
        <f>D40*E40</f>
        <v/>
      </c>
    </row>
    <row r="41" ht="20" customHeight="1">
      <c r="A41" s="10" t="n">
        <v>18</v>
      </c>
      <c r="B41" s="11" t="inlineStr">
        <is>
          <t>Punto de luz conmutado (2 interruptores)</t>
        </is>
      </c>
      <c r="C41" s="10" t="inlineStr">
        <is>
          <t>ud</t>
        </is>
      </c>
      <c r="D41" s="12" t="n">
        <v>4</v>
      </c>
      <c r="E41" s="13" t="n">
        <v>68</v>
      </c>
      <c r="F41" s="13">
        <f>D41*E41</f>
        <v/>
      </c>
    </row>
    <row r="42" ht="20" customHeight="1">
      <c r="A42" s="10" t="n">
        <v>19</v>
      </c>
      <c r="B42" s="11" t="inlineStr">
        <is>
          <t>Punto de luz con regulador de intensidad</t>
        </is>
      </c>
      <c r="C42" s="10" t="inlineStr">
        <is>
          <t>ud</t>
        </is>
      </c>
      <c r="D42" s="12" t="n">
        <v>2</v>
      </c>
      <c r="E42" s="13" t="n">
        <v>85</v>
      </c>
      <c r="F42" s="13">
        <f>D42*E42</f>
        <v/>
      </c>
    </row>
    <row r="43" ht="20" customHeight="1">
      <c r="A43" s="10" t="n">
        <v>20</v>
      </c>
      <c r="B43" s="11" t="inlineStr">
        <is>
          <t>Toma de corriente schuko 16 A empotrada</t>
        </is>
      </c>
      <c r="C43" s="10" t="inlineStr">
        <is>
          <t>ud</t>
        </is>
      </c>
      <c r="D43" s="12" t="n">
        <v>22</v>
      </c>
      <c r="E43" s="13" t="n">
        <v>32</v>
      </c>
      <c r="F43" s="13">
        <f>D43*E43</f>
        <v/>
      </c>
    </row>
    <row r="44" ht="20" customHeight="1">
      <c r="A44" s="10" t="n">
        <v>21</v>
      </c>
      <c r="B44" s="11" t="inlineStr">
        <is>
          <t>Toma 25 A específica para cocina/horno</t>
        </is>
      </c>
      <c r="C44" s="10" t="inlineStr">
        <is>
          <t>ud</t>
        </is>
      </c>
      <c r="D44" s="12" t="n">
        <v>1</v>
      </c>
      <c r="E44" s="13" t="n">
        <v>48</v>
      </c>
      <c r="F44" s="13">
        <f>D44*E44</f>
        <v/>
      </c>
    </row>
    <row r="45" ht="20" customHeight="1">
      <c r="A45" s="10" t="n">
        <v>22</v>
      </c>
      <c r="B45" s="11" t="inlineStr">
        <is>
          <t>Toma TV terrestre + satélite</t>
        </is>
      </c>
      <c r="C45" s="10" t="inlineStr">
        <is>
          <t>ud</t>
        </is>
      </c>
      <c r="D45" s="12" t="n">
        <v>3</v>
      </c>
      <c r="E45" s="13" t="n">
        <v>42</v>
      </c>
      <c r="F45" s="13">
        <f>D45*E45</f>
        <v/>
      </c>
    </row>
    <row r="46" ht="20" customHeight="1">
      <c r="A46" s="10" t="n">
        <v>23</v>
      </c>
      <c r="B46" s="11" t="inlineStr">
        <is>
          <t>Toma RJ45 cat. 6 para datos</t>
        </is>
      </c>
      <c r="C46" s="10" t="inlineStr">
        <is>
          <t>ud</t>
        </is>
      </c>
      <c r="D46" s="12" t="n">
        <v>3</v>
      </c>
      <c r="E46" s="13" t="n">
        <v>48</v>
      </c>
      <c r="F46" s="13">
        <f>D46*E46</f>
        <v/>
      </c>
    </row>
    <row r="47" ht="20" customHeight="1">
      <c r="A47" s="10" t="n">
        <v>24</v>
      </c>
      <c r="B47" s="11" t="inlineStr">
        <is>
          <t>Detector movimiento pasillo y baño</t>
        </is>
      </c>
      <c r="C47" s="10" t="inlineStr">
        <is>
          <t>ud</t>
        </is>
      </c>
      <c r="D47" s="12" t="n">
        <v>2</v>
      </c>
      <c r="E47" s="13" t="n">
        <v>75</v>
      </c>
      <c r="F47" s="13">
        <f>D47*E47</f>
        <v/>
      </c>
    </row>
    <row r="48" ht="22" customHeight="1">
      <c r="A48" s="8" t="inlineStr">
        <is>
          <t>CAPÍTULO 4 — PUESTA A TIERRA Y PROTECCIÓN</t>
        </is>
      </c>
      <c r="B48" s="9" t="n"/>
      <c r="C48" s="9" t="n"/>
      <c r="D48" s="9" t="n"/>
      <c r="E48" s="9" t="n"/>
      <c r="F48" s="9" t="n"/>
    </row>
    <row r="49" ht="20" customHeight="1">
      <c r="A49" s="10" t="n">
        <v>25</v>
      </c>
      <c r="B49" s="11" t="inlineStr">
        <is>
          <t>Pica de puesta a tierra cobre 2 m + arqueta de registro</t>
        </is>
      </c>
      <c r="C49" s="10" t="inlineStr">
        <is>
          <t>ud</t>
        </is>
      </c>
      <c r="D49" s="12" t="n">
        <v>1</v>
      </c>
      <c r="E49" s="13" t="n">
        <v>185</v>
      </c>
      <c r="F49" s="13">
        <f>D49*E49</f>
        <v/>
      </c>
    </row>
    <row r="50" ht="20" customHeight="1">
      <c r="A50" s="10" t="n">
        <v>26</v>
      </c>
      <c r="B50" s="11" t="inlineStr">
        <is>
          <t>Cable de protección tierra amarillo-verde 16 mm²</t>
        </is>
      </c>
      <c r="C50" s="10" t="inlineStr">
        <is>
          <t>ml</t>
        </is>
      </c>
      <c r="D50" s="12" t="n">
        <v>25</v>
      </c>
      <c r="E50" s="13" t="n">
        <v>6</v>
      </c>
      <c r="F50" s="13">
        <f>D50*E50</f>
        <v/>
      </c>
    </row>
    <row r="51" ht="20" customHeight="1">
      <c r="A51" s="10" t="n">
        <v>27</v>
      </c>
      <c r="B51" s="11" t="inlineStr">
        <is>
          <t>Conexión equipotencial baños (ITC-BT-27)</t>
        </is>
      </c>
      <c r="C51" s="10" t="inlineStr">
        <is>
          <t>ud</t>
        </is>
      </c>
      <c r="D51" s="12" t="n">
        <v>2</v>
      </c>
      <c r="E51" s="13" t="n">
        <v>85</v>
      </c>
      <c r="F51" s="13">
        <f>D51*E51</f>
        <v/>
      </c>
    </row>
    <row r="52" ht="22" customHeight="1">
      <c r="A52" s="8" t="inlineStr">
        <is>
          <t>CAPÍTULO 5 — DOCUMENTACIÓN Y LEGALIZACIÓN</t>
        </is>
      </c>
      <c r="B52" s="9" t="n"/>
      <c r="C52" s="9" t="n"/>
      <c r="D52" s="9" t="n"/>
      <c r="E52" s="9" t="n"/>
      <c r="F52" s="9" t="n"/>
    </row>
    <row r="53" ht="20" customHeight="1">
      <c r="A53" s="10" t="n">
        <v>28</v>
      </c>
      <c r="B53" s="11" t="inlineStr">
        <is>
          <t>Memoria Técnica de Diseño (MTD) REBT</t>
        </is>
      </c>
      <c r="C53" s="10" t="inlineStr">
        <is>
          <t>ud</t>
        </is>
      </c>
      <c r="D53" s="12" t="n">
        <v>1</v>
      </c>
      <c r="E53" s="13" t="n">
        <v>180</v>
      </c>
      <c r="F53" s="13">
        <f>D53*E53</f>
        <v/>
      </c>
    </row>
    <row r="54" ht="20" customHeight="1">
      <c r="A54" s="10" t="n">
        <v>29</v>
      </c>
      <c r="B54" s="11" t="inlineStr">
        <is>
          <t>Certificado de Instalación Eléctrica (CIE) + registro Industria</t>
        </is>
      </c>
      <c r="C54" s="10" t="inlineStr">
        <is>
          <t>ud</t>
        </is>
      </c>
      <c r="D54" s="12" t="n">
        <v>1</v>
      </c>
      <c r="E54" s="13" t="n">
        <v>220</v>
      </c>
      <c r="F54" s="13">
        <f>D54*E54</f>
        <v/>
      </c>
    </row>
    <row r="55" ht="20" customHeight="1">
      <c r="A55" s="10" t="n">
        <v>30</v>
      </c>
      <c r="B55" s="11" t="inlineStr">
        <is>
          <t>Pruebas finales: continuidad, puesta a tierra, aislamiento, diferencial</t>
        </is>
      </c>
      <c r="C55" s="10" t="inlineStr">
        <is>
          <t>ud</t>
        </is>
      </c>
      <c r="D55" s="12" t="n">
        <v>1</v>
      </c>
      <c r="E55" s="13" t="n">
        <v>95</v>
      </c>
      <c r="F55" s="13">
        <f>D55*E55</f>
        <v/>
      </c>
    </row>
    <row r="56" ht="20" customHeight="1">
      <c r="A56" s="10" t="n">
        <v>31</v>
      </c>
      <c r="B56" s="11" t="inlineStr">
        <is>
          <t>Croquis unifilar actualizado y entrega al titular</t>
        </is>
      </c>
      <c r="C56" s="10" t="inlineStr">
        <is>
          <t>ud</t>
        </is>
      </c>
      <c r="D56" s="12" t="n">
        <v>1</v>
      </c>
      <c r="E56" s="13" t="n">
        <v>55</v>
      </c>
      <c r="F56" s="13">
        <f>D56*E56</f>
        <v/>
      </c>
    </row>
    <row r="57" ht="22" customHeight="1">
      <c r="A57" s="8" t="inlineStr">
        <is>
          <t>CAPÍTULO 6 — SEGURIDAD Y SALUD</t>
        </is>
      </c>
      <c r="B57" s="9" t="n"/>
      <c r="C57" s="9" t="n"/>
      <c r="D57" s="9" t="n"/>
      <c r="E57" s="9" t="n"/>
      <c r="F57" s="9" t="n"/>
    </row>
    <row r="58" ht="20" customHeight="1">
      <c r="A58" s="10" t="n">
        <v>32</v>
      </c>
      <c r="B58" s="11" t="inlineStr">
        <is>
          <t>EPIs del instalador (guantes dieléctricos, casco, calzado aislante)</t>
        </is>
      </c>
      <c r="C58" s="10" t="inlineStr">
        <is>
          <t>ud</t>
        </is>
      </c>
      <c r="D58" s="12" t="n">
        <v>1</v>
      </c>
      <c r="E58" s="13" t="n">
        <v>95</v>
      </c>
      <c r="F58" s="13">
        <f>D58*E58</f>
        <v/>
      </c>
    </row>
    <row r="59" ht="20" customHeight="1">
      <c r="A59" s="10" t="n">
        <v>33</v>
      </c>
      <c r="B59" s="11" t="inlineStr">
        <is>
          <t>Verificación de ausencia de tensión antes de intervenir</t>
        </is>
      </c>
      <c r="C59" s="10" t="inlineStr">
        <is>
          <t>ud</t>
        </is>
      </c>
      <c r="D59" s="12" t="n">
        <v>1</v>
      </c>
      <c r="E59" s="13" t="n">
        <v>45</v>
      </c>
      <c r="F59" s="13">
        <f>D59*E59</f>
        <v/>
      </c>
    </row>
    <row r="60" ht="20" customHeight="1">
      <c r="A60" s="10" t="n">
        <v>34</v>
      </c>
      <c r="B60" s="11" t="inlineStr">
        <is>
          <t>Señalización provisional durante trabajos</t>
        </is>
      </c>
      <c r="C60" s="10" t="inlineStr">
        <is>
          <t>ud</t>
        </is>
      </c>
      <c r="D60" s="12" t="n">
        <v>1</v>
      </c>
      <c r="E60" s="13" t="n">
        <v>35</v>
      </c>
      <c r="F60" s="13">
        <f>D60*E60</f>
        <v/>
      </c>
    </row>
    <row r="62" ht="22" customHeight="1">
      <c r="B62" s="4" t="inlineStr">
        <is>
          <t>RESUMEN ECONÓMICO — RD 1098/2001</t>
        </is>
      </c>
    </row>
    <row r="63">
      <c r="B63" s="5" t="inlineStr">
        <is>
          <t>PEM — Presupuesto de Ejecución Material</t>
        </is>
      </c>
      <c r="C63" s="6" t="inlineStr">
        <is>
          <t>Coste directo: materiales + mano de obra + maquinaria</t>
        </is>
      </c>
      <c r="F63" s="14">
        <f>F22+F23+F24+F25+F26+F27+F28+F29+F31+F32+F33+F34+F35+F36+F37+F38+F40+F41+F42+F43+F44+F45+F46+F47+F49+F50+F51+F53+F54+F55+F56+F58+F59+F60</f>
        <v/>
      </c>
    </row>
    <row r="64">
      <c r="B64" s="15" t="inlineStr">
        <is>
          <t>+ Gastos generales (13 %)</t>
        </is>
      </c>
      <c r="C64" s="6" t="inlineStr">
        <is>
          <t>Estructura empresa: oficina, seguros, indirectos</t>
        </is>
      </c>
      <c r="F64" s="16">
        <f>F63*0.13</f>
        <v/>
      </c>
    </row>
    <row r="65">
      <c r="B65" s="15" t="inlineStr">
        <is>
          <t>+ Beneficio industrial (6 %)</t>
        </is>
      </c>
      <c r="C65" s="6" t="inlineStr">
        <is>
          <t>Rentabilidad del contratista</t>
        </is>
      </c>
      <c r="F65" s="16">
        <f>F63*0.06</f>
        <v/>
      </c>
    </row>
    <row r="66" ht="24" customHeight="1">
      <c r="B66" s="17">
        <f> PEC — Presupuesto por Contrata (sin IVA)</f>
        <v/>
      </c>
      <c r="F66" s="18">
        <f>F63+F64+F65</f>
        <v/>
      </c>
    </row>
    <row r="67">
      <c r="B67" s="15" t="inlineStr">
        <is>
          <t>+ IVA</t>
        </is>
      </c>
      <c r="C67" s="6" t="inlineStr">
        <is>
          <t>▼ Elige 10 % (reforma viv. habitual) o 21 % (obra nueva/local)</t>
        </is>
      </c>
      <c r="E67" s="19" t="n">
        <v>10</v>
      </c>
      <c r="F67" s="16">
        <f>F66*E67/100</f>
        <v/>
      </c>
    </row>
    <row r="68" ht="32" customHeight="1">
      <c r="B68" s="20" t="inlineStr">
        <is>
          <t>TOTAL A PAGAR</t>
        </is>
      </c>
      <c r="F68" s="21">
        <f>F66+F67</f>
        <v/>
      </c>
    </row>
    <row r="70" ht="20" customHeight="1">
      <c r="B70" s="4" t="inlineStr">
        <is>
          <t>CONDICIONES GENERALES</t>
        </is>
      </c>
    </row>
    <row r="71" ht="22" customHeight="1">
      <c r="B71" s="22" t="inlineStr">
        <is>
          <t>1. Presupuesto válido durante 30 días naturales desde la fecha de emisión.</t>
        </is>
      </c>
    </row>
    <row r="72" ht="22" customHeight="1">
      <c r="B72" s="22" t="inlineStr">
        <is>
          <t>2. Forma de pago: anticipo 40 % a la firma + certificaciones mensuales + 10 % a recepción final.</t>
        </is>
      </c>
    </row>
    <row r="73" ht="22" customHeight="1">
      <c r="B73" s="22" t="inlineStr">
        <is>
          <t>3. Plazo de ejecución: a convenir tras firma del contrato según disponibilidad y alcance.</t>
        </is>
      </c>
    </row>
    <row r="74" ht="22" customHeight="1">
      <c r="B74" s="22" t="inlineStr">
        <is>
          <t>4. Garantías conforme a la LOE (Ley 38/1999): 10 años estructura, 3 años habitabilidad, 1 año acabados.</t>
        </is>
      </c>
    </row>
    <row r="75" ht="22" customHeight="1">
      <c r="B75" s="22" t="inlineStr">
        <is>
          <t>5. No incluye gestión de licencias, proyecto técnico visado ni tasas municipales salvo que se indique.</t>
        </is>
      </c>
    </row>
    <row r="76" ht="22" customHeight="1">
      <c r="B76" s="22" t="inlineStr">
        <is>
          <t>6. Cualquier modificación del alcance se documentará como precio contradictorio firmado por ambas partes.</t>
        </is>
      </c>
    </row>
    <row r="79">
      <c r="B79" s="23" t="inlineStr">
        <is>
          <t>La empresa (firma y sello)</t>
        </is>
      </c>
      <c r="E79" s="23" t="inlineStr">
        <is>
          <t>El cliente (firma y fecha)</t>
        </is>
      </c>
    </row>
    <row r="83" ht="40" customHeight="1">
      <c r="A83" s="24" t="inlineStr">
        <is>
          <t>⚠️ Aviso editorial: esta plantilla es un modelo orientativo. Las partidas, precios y referencias normativas no sustituyen al asesoramiento de un abogado, fiscalista o técnico titulado. Consulta siempre a tu asesor antes de firmar, facturar o ejecutar obra. Ver aviso completo en la hoja Instrucciones.</t>
        </is>
      </c>
    </row>
    <row r="85">
      <c r="A85" s="25" t="inlineStr">
        <is>
          <t>Generado con Motor de Presupuestos · motordepresupuestos.com</t>
        </is>
      </c>
    </row>
  </sheetData>
  <mergeCells count="39">
    <mergeCell ref="B75:F75"/>
    <mergeCell ref="B62:F62"/>
    <mergeCell ref="B72:F72"/>
    <mergeCell ref="C15:G15"/>
    <mergeCell ref="B68:E68"/>
    <mergeCell ref="A4:G4"/>
    <mergeCell ref="C14:G14"/>
    <mergeCell ref="B71:F71"/>
    <mergeCell ref="A21:F21"/>
    <mergeCell ref="E79:F79"/>
    <mergeCell ref="A57:F57"/>
    <mergeCell ref="B70:F70"/>
    <mergeCell ref="C65:E65"/>
    <mergeCell ref="C10:G10"/>
    <mergeCell ref="C16:G16"/>
    <mergeCell ref="A83:G83"/>
    <mergeCell ref="C9:G9"/>
    <mergeCell ref="B6:G6"/>
    <mergeCell ref="A52:F52"/>
    <mergeCell ref="C66:E66"/>
    <mergeCell ref="A1:G1"/>
    <mergeCell ref="B73:F73"/>
    <mergeCell ref="A48:F48"/>
    <mergeCell ref="A30:F30"/>
    <mergeCell ref="C8:G8"/>
    <mergeCell ref="A39:F39"/>
    <mergeCell ref="B74:F74"/>
    <mergeCell ref="C17:G17"/>
    <mergeCell ref="A85:G85"/>
    <mergeCell ref="C7:G7"/>
    <mergeCell ref="C67:D67"/>
    <mergeCell ref="B76:F76"/>
    <mergeCell ref="A2:G2"/>
    <mergeCell ref="C64:E64"/>
    <mergeCell ref="B12:G12"/>
    <mergeCell ref="B79:C79"/>
    <mergeCell ref="C13:G13"/>
    <mergeCell ref="C18:G18"/>
    <mergeCell ref="C63:E63"/>
  </mergeCells>
  <dataValidations count="1">
    <dataValidation sqref="E67" showDropDown="0" showInputMessage="0" showErrorMessage="0" allowBlank="0" errorTitle="IVA fuera del rango permitido" error="Elige 10 (reforma en vivienda habitual con antigüedad &gt; 2 años, Ley 37/1992 art. 91.uno.2) o 21 (obra nueva o local)." promptTitle="Tipo de IVA aplicable" prompt="10 % = reforma en vivienda habitual con antigüedad &gt; 2 años (Ley 37/1992 art. 91.uno.2).&#10;21 % = obra nueva, ampliación, 2ª residencia o local comercial." type="list">
      <formula1>"10,21"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  <col width="3" customWidth="1" min="3" max="3"/>
  </cols>
  <sheetData>
    <row r="1" ht="55" customHeight="1">
      <c r="A1" s="1" t="inlineStr">
        <is>
          <t>CÓMO USAR ESTA PLANTILLA</t>
        </is>
      </c>
    </row>
    <row r="3">
      <c r="B3" s="26" t="inlineStr">
        <is>
          <t>1. Rellena los datos de tu empresa y del cliente</t>
        </is>
      </c>
    </row>
    <row r="4" ht="30" customHeight="1">
      <c r="B4" s="22" t="inlineStr">
        <is>
          <t>Completa los bloques en amarillo con tu razón social, NIF, dirección, y los del cliente que recibirá el presupuesto.</t>
        </is>
      </c>
    </row>
    <row r="6">
      <c r="B6" s="26" t="inlineStr">
        <is>
          <t>2. Ajusta las partidas según el alcance real del trabajo</t>
        </is>
      </c>
    </row>
    <row r="7" ht="50" customHeight="1">
      <c r="B7" s="22" t="inlineStr">
        <is>
          <t>Esta plantilla incluye las partidas habituales del oficio con referencias a normativa técnica española (REBT, CTE DB-HS, UNE-EN, RD aplicables). Elimina las que no apliquen, modifica cantidades y precios, o añade filas nuevas si tu trabajo incluye algo adicional.</t>
        </is>
      </c>
    </row>
    <row r="9">
      <c r="B9" s="26" t="inlineStr">
        <is>
          <t>3. Elige el % de IVA aplicable (desplegable)</t>
        </is>
      </c>
    </row>
    <row r="10" ht="50" customHeight="1">
      <c r="B10" s="22" t="inlineStr">
        <is>
          <t>La celda amarilla del IVA es un desplegable: 10 % para reforma en vivienda habitual con antigüedad mayor de 2 años (Ley 37/1992 art. 91.uno.2); 21 % para obra nueva, ampliación, 2ª residencia o local comercial. Consulta con tu asesor fiscal ante dudas sobre tu caso particular.</t>
        </is>
      </c>
    </row>
    <row r="12">
      <c r="B12" s="26" t="inlineStr">
        <is>
          <t>4. Las fórmulas hacen los cálculos automáticamente</t>
        </is>
      </c>
    </row>
    <row r="13" ht="50" customHeight="1">
      <c r="B13" s="22" t="inlineStr">
        <is>
          <t>PEM = suma de importes de partidas · GG = 13 % del PEM (RD 1098/2001) · BI = 6 % del PEM · PEC = PEM + GG + BI · IVA = porcentaje sobre PEC · TOTAL = PEC + IVA. No toques las celdas con fórmulas salvo que sepas lo que haces.</t>
        </is>
      </c>
    </row>
    <row r="15">
      <c r="B15" s="26" t="inlineStr">
        <is>
          <t>5. Imprime o guarda como PDF y envíalo al cliente</t>
        </is>
      </c>
    </row>
    <row r="16" ht="30" customHeight="1">
      <c r="B16" s="22" t="inlineStr">
        <is>
          <t>Excel permite exportar a PDF desde Archivo → Exportar → Crear PDF. El formato queda profesional en papel y en móvil.</t>
        </is>
      </c>
    </row>
    <row r="19">
      <c r="B19" s="26" t="inlineStr">
        <is>
          <t>⚠️ AVISO EDITORIAL — IMPORTANTE</t>
        </is>
      </c>
    </row>
    <row r="21">
      <c r="B21" s="26" t="inlineStr">
        <is>
          <t>Información orientativa, no asesoramiento profesional</t>
        </is>
      </c>
    </row>
    <row r="22" ht="50" customHeight="1">
      <c r="B22" s="22" t="inlineStr">
        <is>
          <t>Esta plantilla es un modelo de trabajo de referencia. Las partidas, precios y referencias normativas son orientativos y no sustituyen al asesoramiento de un abogado, fiscalista, arquitecto, aparejador o técnico titulado. La normativa citada (Ley del IVA, LOE, CTE, REBT, RD 1098/2001, RD 1627/1997 y similares) está sujeta a cambios; consulta siempre el texto consolidado en el BOE y a tu asesor antes de firmar, facturar o ejecutar obra. Motor de Presupuestos y Alberto Cuitó Martín no asumen responsabilidad por decisiones o daños derivados del uso de esta plantilla.</t>
        </is>
      </c>
    </row>
    <row r="25">
      <c r="B25" s="26" t="inlineStr">
        <is>
          <t>▶ ¿Haces muchos presupuestos al mes?</t>
        </is>
      </c>
    </row>
    <row r="27">
      <c r="B27" s="26" t="inlineStr">
        <is>
          <t>Motor de Presupuestos automatiza todo esto</t>
        </is>
      </c>
    </row>
    <row r="28" ht="50" customHeight="1">
      <c r="B28" s="22" t="inlineStr">
        <is>
          <t>Con IA que monta el presupuesto por voz en 30 segundos, catálogo de 3.650 partidas técnicas con normativa española ya aplicada, firma digital del cliente en el acto, y envío por WhatsApp con PDF profesional. Desde 39 €/mes sin permanencia.</t>
        </is>
      </c>
    </row>
    <row r="30">
      <c r="B30" s="26" t="inlineStr">
        <is>
          <t>Prueba gratis en:</t>
        </is>
      </c>
    </row>
    <row r="31" ht="30" customHeight="1">
      <c r="B31" s="22" t="inlineStr">
        <is>
          <t>https://panel.motordepresupuestos.com/auth</t>
        </is>
      </c>
    </row>
    <row r="33">
      <c r="B33" s="26" t="inlineStr">
        <is>
          <t>O escribe por WhatsApp al fundador:</t>
        </is>
      </c>
    </row>
    <row r="34" ht="30" customHeight="1">
      <c r="B34" s="22" t="inlineStr">
        <is>
          <t>667 47 41 17 — Alberto Cuitó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2026-04-18T20:53:31Z</dcterms:created>
  <dcterms:modified xmlns:dcterms="http://purl.org/dc/terms/" xmlns:xsi="http://www.w3.org/2001/XMLSchema-instance" xsi:type="dcterms:W3CDTF">2026-04-18T20:53:31Z</dcterms:modified>
</cp:coreProperties>
</file>