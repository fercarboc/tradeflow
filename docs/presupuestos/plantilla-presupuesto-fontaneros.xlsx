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upuesto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&quot; €&quot;"/>
    <numFmt numFmtId="165" formatCode="0&quot;%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color rgb="00FFFFFF"/>
      <sz val="10"/>
    </font>
    <font>
      <name val="Calibri"/>
      <b val="1"/>
      <color rgb="000F172A"/>
      <sz val="14"/>
    </font>
    <font>
      <name val="Calibri"/>
      <b val="1"/>
      <color rgb="000F172A"/>
      <sz val="10"/>
    </font>
    <font>
      <name val="Calibri"/>
      <i val="1"/>
      <color rgb="006B7280"/>
      <sz val="10"/>
    </font>
    <font>
      <name val="Calibri"/>
      <b val="1"/>
      <color rgb="00FFFFFF"/>
      <sz val="10"/>
    </font>
    <font>
      <name val="Calibri"/>
      <b val="1"/>
      <color rgb="000F172A"/>
      <sz val="11"/>
    </font>
    <font>
      <name val="Calibri"/>
      <color rgb="000F172A"/>
      <sz val="10"/>
    </font>
    <font>
      <name val="Calibri"/>
      <b val="1"/>
      <color rgb="001D4ED8"/>
      <sz val="13"/>
    </font>
    <font>
      <name val="Calibri"/>
      <b val="1"/>
      <color rgb="00FFFFFF"/>
      <sz val="15"/>
    </font>
    <font>
      <name val="Calibri"/>
      <i val="1"/>
      <color rgb="0092400E"/>
      <sz val="9"/>
    </font>
    <font>
      <name val="Calibri"/>
      <i val="1"/>
      <color rgb="009CA3AF"/>
      <sz val="9"/>
    </font>
  </fonts>
  <fills count="7">
    <fill>
      <patternFill/>
    </fill>
    <fill>
      <patternFill patternType="gray125"/>
    </fill>
    <fill>
      <patternFill patternType="solid">
        <fgColor rgb="001D4ED8"/>
        <bgColor rgb="001D4ED8"/>
      </patternFill>
    </fill>
    <fill>
      <patternFill patternType="solid">
        <fgColor rgb="00EFF6FF"/>
        <bgColor rgb="00EFF6FF"/>
      </patternFill>
    </fill>
    <fill>
      <patternFill patternType="solid">
        <fgColor rgb="00F9FAFB"/>
        <bgColor rgb="00F9FAFB"/>
      </patternFill>
    </fill>
    <fill>
      <patternFill patternType="solid">
        <fgColor rgb="00FFF9C3"/>
        <bgColor rgb="00FFF9C3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3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4" fontId="8" fillId="0" borderId="1" applyAlignment="1" pivotButton="0" quotePrefix="0" xfId="0">
      <alignment horizontal="right" vertical="center"/>
    </xf>
    <xf numFmtId="164" fontId="8" fillId="0" borderId="1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0" fontId="8" fillId="0" borderId="0" pivotButton="0" quotePrefix="0" xfId="0"/>
    <xf numFmtId="164" fontId="8" fillId="0" borderId="0" applyAlignment="1" pivotButton="0" quotePrefix="0" xfId="0">
      <alignment horizontal="right" vertical="center"/>
    </xf>
    <xf numFmtId="0" fontId="9" fillId="0" borderId="0" pivotButton="0" quotePrefix="0" xfId="0"/>
    <xf numFmtId="164" fontId="9" fillId="3" borderId="0" applyAlignment="1" pivotButton="0" quotePrefix="0" xfId="0">
      <alignment horizontal="right" vertical="center"/>
    </xf>
    <xf numFmtId="165" fontId="8" fillId="5" borderId="0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 wrapText="1"/>
    </xf>
    <xf numFmtId="164" fontId="10" fillId="2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center" vertical="center" wrapText="1"/>
    </xf>
    <xf numFmtId="0" fontId="11" fillId="6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0" customWidth="1" min="3" max="3"/>
    <col width="10" customWidth="1" min="4" max="4"/>
    <col width="14" customWidth="1" min="5" max="5"/>
    <col width="16" customWidth="1" min="6" max="6"/>
    <col width="4" customWidth="1" min="7" max="7"/>
  </cols>
  <sheetData>
    <row r="1" ht="55" customHeight="1">
      <c r="A1" s="1" t="inlineStr">
        <is>
          <t>MOTOR DE PRESUPUESTOS</t>
        </is>
      </c>
    </row>
    <row r="2" ht="22" customHeight="1">
      <c r="A2" s="2" t="inlineStr">
        <is>
          <t>Plantilla profesional para instaladores de fontanería (CTE DB-HS4)</t>
        </is>
      </c>
    </row>
    <row r="3" ht="10" customHeight="1"/>
    <row r="4" ht="40" customHeight="1">
      <c r="A4" s="3" t="inlineStr">
        <is>
          <t>PRESUPUESTO DE INSTALACIÓN DE FONTANERÍA</t>
        </is>
      </c>
    </row>
    <row r="6" ht="20" customHeight="1">
      <c r="B6" s="4" t="inlineStr">
        <is>
          <t>DATOS DE LA EMPRESA EMISORA</t>
        </is>
      </c>
    </row>
    <row r="7">
      <c r="B7" s="5" t="inlineStr">
        <is>
          <t>Razón social:</t>
        </is>
      </c>
      <c r="C7" s="6" t="inlineStr">
        <is>
          <t>[completar]</t>
        </is>
      </c>
    </row>
    <row r="8">
      <c r="B8" s="5" t="inlineStr">
        <is>
          <t>NIF / CIF:</t>
        </is>
      </c>
      <c r="C8" s="6" t="inlineStr">
        <is>
          <t>[completar]</t>
        </is>
      </c>
    </row>
    <row r="9">
      <c r="B9" s="5" t="inlineStr">
        <is>
          <t>Dirección:</t>
        </is>
      </c>
      <c r="C9" s="6" t="inlineStr">
        <is>
          <t>[completar]</t>
        </is>
      </c>
    </row>
    <row r="10">
      <c r="B10" s="5" t="inlineStr">
        <is>
          <t>Teléfono / Email:</t>
        </is>
      </c>
      <c r="C10" s="6" t="inlineStr">
        <is>
          <t>[completar]</t>
        </is>
      </c>
    </row>
    <row r="12" ht="20" customHeight="1">
      <c r="B12" s="4" t="inlineStr">
        <is>
          <t>DATOS DEL CLIENTE</t>
        </is>
      </c>
    </row>
    <row r="13">
      <c r="B13" s="5" t="inlineStr">
        <is>
          <t>Nombre / Razón social:</t>
        </is>
      </c>
      <c r="C13" s="6" t="inlineStr">
        <is>
          <t>[completar]</t>
        </is>
      </c>
    </row>
    <row r="14">
      <c r="B14" s="5" t="inlineStr">
        <is>
          <t>NIF / CIF:</t>
        </is>
      </c>
      <c r="C14" s="6" t="inlineStr">
        <is>
          <t>[completar]</t>
        </is>
      </c>
    </row>
    <row r="15">
      <c r="B15" s="5" t="inlineStr">
        <is>
          <t>Dirección obra:</t>
        </is>
      </c>
      <c r="C15" s="6" t="inlineStr">
        <is>
          <t>[completar]</t>
        </is>
      </c>
    </row>
    <row r="16">
      <c r="B16" s="5" t="inlineStr">
        <is>
          <t>Fecha presupuesto:</t>
        </is>
      </c>
      <c r="C16" s="6" t="inlineStr">
        <is>
          <t>[completar]</t>
        </is>
      </c>
    </row>
    <row r="17">
      <c r="B17" s="5" t="inlineStr">
        <is>
          <t>Nº presupuesto:</t>
        </is>
      </c>
      <c r="C17" s="6" t="inlineStr">
        <is>
          <t>[completar]</t>
        </is>
      </c>
    </row>
    <row r="18">
      <c r="B18" s="5" t="inlineStr">
        <is>
          <t>Plazo validez:</t>
        </is>
      </c>
      <c r="C18" s="6" t="inlineStr">
        <is>
          <t>[completar]</t>
        </is>
      </c>
    </row>
    <row r="20" ht="28" customHeight="1">
      <c r="A20" s="7" t="inlineStr">
        <is>
          <t>#</t>
        </is>
      </c>
      <c r="B20" s="7" t="inlineStr">
        <is>
          <t>Descripción de la partida</t>
        </is>
      </c>
      <c r="C20" s="7" t="inlineStr">
        <is>
          <t>Ud</t>
        </is>
      </c>
      <c r="D20" s="7" t="inlineStr">
        <is>
          <t>Cantidad</t>
        </is>
      </c>
      <c r="E20" s="7" t="inlineStr">
        <is>
          <t>Precio unit.</t>
        </is>
      </c>
      <c r="F20" s="7" t="inlineStr">
        <is>
          <t>Importe</t>
        </is>
      </c>
    </row>
    <row r="21" ht="22" customHeight="1">
      <c r="A21" s="8" t="inlineStr">
        <is>
          <t>CAPÍTULO 1 — ACOMETIDA Y DISTRIBUCIÓN GENERAL</t>
        </is>
      </c>
      <c r="B21" s="9" t="n"/>
      <c r="C21" s="9" t="n"/>
      <c r="D21" s="9" t="n"/>
      <c r="E21" s="9" t="n"/>
      <c r="F21" s="9" t="n"/>
    </row>
    <row r="22" ht="20" customHeight="1">
      <c r="A22" s="10" t="n">
        <v>1</v>
      </c>
      <c r="B22" s="11" t="inlineStr">
        <is>
          <t>Visita previa + replanteo de red de agua</t>
        </is>
      </c>
      <c r="C22" s="10" t="inlineStr">
        <is>
          <t>ud</t>
        </is>
      </c>
      <c r="D22" s="12" t="n">
        <v>1</v>
      </c>
      <c r="E22" s="13" t="n">
        <v>120</v>
      </c>
      <c r="F22" s="13">
        <f>D22*E22</f>
        <v/>
      </c>
    </row>
    <row r="23" ht="20" customHeight="1">
      <c r="A23" s="10" t="n">
        <v>2</v>
      </c>
      <c r="B23" s="11" t="inlineStr">
        <is>
          <t>Acometida general con llave de corte + contador homologado</t>
        </is>
      </c>
      <c r="C23" s="10" t="inlineStr">
        <is>
          <t>ud</t>
        </is>
      </c>
      <c r="D23" s="12" t="n">
        <v>1</v>
      </c>
      <c r="E23" s="13" t="n">
        <v>480</v>
      </c>
      <c r="F23" s="13">
        <f>D23*E23</f>
        <v/>
      </c>
    </row>
    <row r="24" ht="20" customHeight="1">
      <c r="A24" s="10" t="n">
        <v>3</v>
      </c>
      <c r="B24" s="11" t="inlineStr">
        <is>
          <t>Llave general de corte de entrada a vivienda</t>
        </is>
      </c>
      <c r="C24" s="10" t="inlineStr">
        <is>
          <t>ud</t>
        </is>
      </c>
      <c r="D24" s="12" t="n">
        <v>1</v>
      </c>
      <c r="E24" s="13" t="n">
        <v>35</v>
      </c>
      <c r="F24" s="13">
        <f>D24*E24</f>
        <v/>
      </c>
    </row>
    <row r="25" ht="20" customHeight="1">
      <c r="A25" s="10" t="n">
        <v>4</v>
      </c>
      <c r="B25" s="11" t="inlineStr">
        <is>
          <t>Distribuidor general multicapa PE-Al-PE 20 mm (UNE-EN ISO 21003)</t>
        </is>
      </c>
      <c r="C25" s="10" t="inlineStr">
        <is>
          <t>ml</t>
        </is>
      </c>
      <c r="D25" s="12" t="n">
        <v>18</v>
      </c>
      <c r="E25" s="13" t="n">
        <v>14</v>
      </c>
      <c r="F25" s="13">
        <f>D25*E25</f>
        <v/>
      </c>
    </row>
    <row r="26" ht="20" customHeight="1">
      <c r="A26" s="10" t="n">
        <v>5</v>
      </c>
      <c r="B26" s="11" t="inlineStr">
        <is>
          <t>Llave de corte por estancia</t>
        </is>
      </c>
      <c r="C26" s="10" t="inlineStr">
        <is>
          <t>ud</t>
        </is>
      </c>
      <c r="D26" s="12" t="n">
        <v>4</v>
      </c>
      <c r="E26" s="13" t="n">
        <v>28</v>
      </c>
      <c r="F26" s="13">
        <f>D26*E26</f>
        <v/>
      </c>
    </row>
    <row r="27" ht="20" customHeight="1">
      <c r="A27" s="10" t="n">
        <v>6</v>
      </c>
      <c r="B27" s="11" t="inlineStr">
        <is>
          <t>Filtro auto-limpiante + grifo de vaciado de red</t>
        </is>
      </c>
      <c r="C27" s="10" t="inlineStr">
        <is>
          <t>ud</t>
        </is>
      </c>
      <c r="D27" s="12" t="n">
        <v>1</v>
      </c>
      <c r="E27" s="13" t="n">
        <v>95</v>
      </c>
      <c r="F27" s="13">
        <f>D27*E27</f>
        <v/>
      </c>
    </row>
    <row r="28" ht="22" customHeight="1">
      <c r="A28" s="8" t="inlineStr">
        <is>
          <t>CAPÍTULO 2 — DISTRIBUCIÓN INTERIOR AGUA FRÍA Y ACS</t>
        </is>
      </c>
      <c r="B28" s="9" t="n"/>
      <c r="C28" s="9" t="n"/>
      <c r="D28" s="9" t="n"/>
      <c r="E28" s="9" t="n"/>
      <c r="F28" s="9" t="n"/>
    </row>
    <row r="29" ht="20" customHeight="1">
      <c r="A29" s="10" t="n">
        <v>7</v>
      </c>
      <c r="B29" s="11" t="inlineStr">
        <is>
          <t>Red de agua fría con multicapa PE-Al-PE 16 mm empotrada</t>
        </is>
      </c>
      <c r="C29" s="10" t="inlineStr">
        <is>
          <t>ml</t>
        </is>
      </c>
      <c r="D29" s="12" t="n">
        <v>38</v>
      </c>
      <c r="E29" s="13" t="n">
        <v>12</v>
      </c>
      <c r="F29" s="13">
        <f>D29*E29</f>
        <v/>
      </c>
    </row>
    <row r="30" ht="20" customHeight="1">
      <c r="A30" s="10" t="n">
        <v>8</v>
      </c>
      <c r="B30" s="11" t="inlineStr">
        <is>
          <t>Red de ACS con multicapa PE-Al-PE 16 mm empotrada</t>
        </is>
      </c>
      <c r="C30" s="10" t="inlineStr">
        <is>
          <t>ml</t>
        </is>
      </c>
      <c r="D30" s="12" t="n">
        <v>28</v>
      </c>
      <c r="E30" s="13" t="n">
        <v>13</v>
      </c>
      <c r="F30" s="13">
        <f>D30*E30</f>
        <v/>
      </c>
    </row>
    <row r="31" ht="20" customHeight="1">
      <c r="A31" s="10" t="n">
        <v>9</v>
      </c>
      <c r="B31" s="11" t="inlineStr">
        <is>
          <t>Aislamiento térmico tubería ACS (RITE RD 1027/2007)</t>
        </is>
      </c>
      <c r="C31" s="10" t="inlineStr">
        <is>
          <t>ml</t>
        </is>
      </c>
      <c r="D31" s="12" t="n">
        <v>28</v>
      </c>
      <c r="E31" s="13" t="n">
        <v>4.5</v>
      </c>
      <c r="F31" s="13">
        <f>D31*E31</f>
        <v/>
      </c>
    </row>
    <row r="32" ht="20" customHeight="1">
      <c r="A32" s="10" t="n">
        <v>10</v>
      </c>
      <c r="B32" s="11" t="inlineStr">
        <is>
          <t>Aislamiento anticondensación en tuberías AF empotradas</t>
        </is>
      </c>
      <c r="C32" s="10" t="inlineStr">
        <is>
          <t>ml</t>
        </is>
      </c>
      <c r="D32" s="12" t="n">
        <v>38</v>
      </c>
      <c r="E32" s="13" t="n">
        <v>3.5</v>
      </c>
      <c r="F32" s="13">
        <f>D32*E32</f>
        <v/>
      </c>
    </row>
    <row r="33" ht="20" customHeight="1">
      <c r="A33" s="10" t="n">
        <v>11</v>
      </c>
      <c r="B33" s="11" t="inlineStr">
        <is>
          <t>Llaves de escuadra 3/8 cromadas para aparatos</t>
        </is>
      </c>
      <c r="C33" s="10" t="inlineStr">
        <is>
          <t>ud</t>
        </is>
      </c>
      <c r="D33" s="12" t="n">
        <v>12</v>
      </c>
      <c r="E33" s="13" t="n">
        <v>9</v>
      </c>
      <c r="F33" s="13">
        <f>D33*E33</f>
        <v/>
      </c>
    </row>
    <row r="34" ht="20" customHeight="1">
      <c r="A34" s="10" t="n">
        <v>12</v>
      </c>
      <c r="B34" s="11" t="inlineStr">
        <is>
          <t>Válvulas antiretorno en entrada a caldera y termo</t>
        </is>
      </c>
      <c r="C34" s="10" t="inlineStr">
        <is>
          <t>ud</t>
        </is>
      </c>
      <c r="D34" s="12" t="n">
        <v>2</v>
      </c>
      <c r="E34" s="13" t="n">
        <v>45</v>
      </c>
      <c r="F34" s="13">
        <f>D34*E34</f>
        <v/>
      </c>
    </row>
    <row r="35" ht="22" customHeight="1">
      <c r="A35" s="8" t="inlineStr">
        <is>
          <t>CAPÍTULO 3 — PRODUCCIÓN DE ACS</t>
        </is>
      </c>
      <c r="B35" s="9" t="n"/>
      <c r="C35" s="9" t="n"/>
      <c r="D35" s="9" t="n"/>
      <c r="E35" s="9" t="n"/>
      <c r="F35" s="9" t="n"/>
    </row>
    <row r="36" ht="20" customHeight="1">
      <c r="A36" s="10" t="n">
        <v>13</v>
      </c>
      <c r="B36" s="11" t="inlineStr">
        <is>
          <t>Termo eléctrico 100 L clase energética B</t>
        </is>
      </c>
      <c r="C36" s="10" t="inlineStr">
        <is>
          <t>ud</t>
        </is>
      </c>
      <c r="D36" s="12" t="n">
        <v>1</v>
      </c>
      <c r="E36" s="13" t="n">
        <v>380</v>
      </c>
      <c r="F36" s="13">
        <f>D36*E36</f>
        <v/>
      </c>
    </row>
    <row r="37" ht="20" customHeight="1">
      <c r="A37" s="10" t="n">
        <v>14</v>
      </c>
      <c r="B37" s="11" t="inlineStr">
        <is>
          <t>Grupo de presión hidroneumático (si procede)</t>
        </is>
      </c>
      <c r="C37" s="10" t="inlineStr">
        <is>
          <t>ud</t>
        </is>
      </c>
      <c r="D37" s="12" t="n">
        <v>1</v>
      </c>
      <c r="E37" s="13" t="n">
        <v>520</v>
      </c>
      <c r="F37" s="13">
        <f>D37*E37</f>
        <v/>
      </c>
    </row>
    <row r="38" ht="20" customHeight="1">
      <c r="A38" s="10" t="n">
        <v>15</v>
      </c>
      <c r="B38" s="11" t="inlineStr">
        <is>
          <t>Vaso de expansión sanitario 5 L</t>
        </is>
      </c>
      <c r="C38" s="10" t="inlineStr">
        <is>
          <t>ud</t>
        </is>
      </c>
      <c r="D38" s="12" t="n">
        <v>1</v>
      </c>
      <c r="E38" s="13" t="n">
        <v>65</v>
      </c>
      <c r="F38" s="13">
        <f>D38*E38</f>
        <v/>
      </c>
    </row>
    <row r="39" ht="22" customHeight="1">
      <c r="A39" s="8" t="inlineStr">
        <is>
          <t>CAPÍTULO 4 — APARATOS SANITARIOS Y GRIFERÍA</t>
        </is>
      </c>
      <c r="B39" s="9" t="n"/>
      <c r="C39" s="9" t="n"/>
      <c r="D39" s="9" t="n"/>
      <c r="E39" s="9" t="n"/>
      <c r="F39" s="9" t="n"/>
    </row>
    <row r="40" ht="20" customHeight="1">
      <c r="A40" s="10" t="n">
        <v>16</v>
      </c>
      <c r="B40" s="11" t="inlineStr">
        <is>
          <t>Lavabo porcelana con grifería monomando cromada</t>
        </is>
      </c>
      <c r="C40" s="10" t="inlineStr">
        <is>
          <t>ud</t>
        </is>
      </c>
      <c r="D40" s="12" t="n">
        <v>2</v>
      </c>
      <c r="E40" s="13" t="n">
        <v>185</v>
      </c>
      <c r="F40" s="13">
        <f>D40*E40</f>
        <v/>
      </c>
    </row>
    <row r="41" ht="20" customHeight="1">
      <c r="A41" s="10" t="n">
        <v>17</v>
      </c>
      <c r="B41" s="11" t="inlineStr">
        <is>
          <t>Inodoro cisterna adosado con asiento amortiguado</t>
        </is>
      </c>
      <c r="C41" s="10" t="inlineStr">
        <is>
          <t>ud</t>
        </is>
      </c>
      <c r="D41" s="12" t="n">
        <v>2</v>
      </c>
      <c r="E41" s="13" t="n">
        <v>220</v>
      </c>
      <c r="F41" s="13">
        <f>D41*E41</f>
        <v/>
      </c>
    </row>
    <row r="42" ht="20" customHeight="1">
      <c r="A42" s="10" t="n">
        <v>18</v>
      </c>
      <c r="B42" s="11" t="inlineStr">
        <is>
          <t>Bidé porcelana con grifería monomando (opcional)</t>
        </is>
      </c>
      <c r="C42" s="10" t="inlineStr">
        <is>
          <t>ud</t>
        </is>
      </c>
      <c r="D42" s="12" t="n">
        <v>1</v>
      </c>
      <c r="E42" s="13" t="n">
        <v>165</v>
      </c>
      <c r="F42" s="13">
        <f>D42*E42</f>
        <v/>
      </c>
    </row>
    <row r="43" ht="20" customHeight="1">
      <c r="A43" s="10" t="n">
        <v>19</v>
      </c>
      <c r="B43" s="11" t="inlineStr">
        <is>
          <t>Plato de ducha 90×120 resina + mampara corredera 6 mm</t>
        </is>
      </c>
      <c r="C43" s="10" t="inlineStr">
        <is>
          <t>ud</t>
        </is>
      </c>
      <c r="D43" s="12" t="n">
        <v>1</v>
      </c>
      <c r="E43" s="13" t="n">
        <v>340</v>
      </c>
      <c r="F43" s="13">
        <f>D43*E43</f>
        <v/>
      </c>
    </row>
    <row r="44" ht="20" customHeight="1">
      <c r="A44" s="10" t="n">
        <v>20</v>
      </c>
      <c r="B44" s="11" t="inlineStr">
        <is>
          <t>Bañera acrílica 170×70 + grifería termostática</t>
        </is>
      </c>
      <c r="C44" s="10" t="inlineStr">
        <is>
          <t>ud</t>
        </is>
      </c>
      <c r="D44" s="12" t="n">
        <v>1</v>
      </c>
      <c r="E44" s="13" t="n">
        <v>420</v>
      </c>
      <c r="F44" s="13">
        <f>D44*E44</f>
        <v/>
      </c>
    </row>
    <row r="45" ht="20" customHeight="1">
      <c r="A45" s="10" t="n">
        <v>21</v>
      </c>
      <c r="B45" s="11" t="inlineStr">
        <is>
          <t>Fregadero inox 1 cuba + grifería monomando cromada</t>
        </is>
      </c>
      <c r="C45" s="10" t="inlineStr">
        <is>
          <t>ud</t>
        </is>
      </c>
      <c r="D45" s="12" t="n">
        <v>1</v>
      </c>
      <c r="E45" s="13" t="n">
        <v>180</v>
      </c>
      <c r="F45" s="13">
        <f>D45*E45</f>
        <v/>
      </c>
    </row>
    <row r="46" ht="20" customHeight="1">
      <c r="A46" s="10" t="n">
        <v>22</v>
      </c>
      <c r="B46" s="11" t="inlineStr">
        <is>
          <t>Toma de lavadora/lavavajillas con llaves y antirretorno</t>
        </is>
      </c>
      <c r="C46" s="10" t="inlineStr">
        <is>
          <t>ud</t>
        </is>
      </c>
      <c r="D46" s="12" t="n">
        <v>2</v>
      </c>
      <c r="E46" s="13" t="n">
        <v>55</v>
      </c>
      <c r="F46" s="13">
        <f>D46*E46</f>
        <v/>
      </c>
    </row>
    <row r="47" ht="22" customHeight="1">
      <c r="A47" s="8" t="inlineStr">
        <is>
          <t>CAPÍTULO 5 — SANEAMIENTO Y EVACUACIÓN</t>
        </is>
      </c>
      <c r="B47" s="9" t="n"/>
      <c r="C47" s="9" t="n"/>
      <c r="D47" s="9" t="n"/>
      <c r="E47" s="9" t="n"/>
      <c r="F47" s="9" t="n"/>
    </row>
    <row r="48" ht="20" customHeight="1">
      <c r="A48" s="10" t="n">
        <v>23</v>
      </c>
      <c r="B48" s="11" t="inlineStr">
        <is>
          <t>Bajante PVC 110 mm con anclajes y juntas de goma</t>
        </is>
      </c>
      <c r="C48" s="10" t="inlineStr">
        <is>
          <t>ml</t>
        </is>
      </c>
      <c r="D48" s="12" t="n">
        <v>6</v>
      </c>
      <c r="E48" s="13" t="n">
        <v>22</v>
      </c>
      <c r="F48" s="13">
        <f>D48*E48</f>
        <v/>
      </c>
    </row>
    <row r="49" ht="20" customHeight="1">
      <c r="A49" s="10" t="n">
        <v>24</v>
      </c>
      <c r="B49" s="11" t="inlineStr">
        <is>
          <t>Ramal de desagüe PVC DN 40/50 con pendiente</t>
        </is>
      </c>
      <c r="C49" s="10" t="inlineStr">
        <is>
          <t>ml</t>
        </is>
      </c>
      <c r="D49" s="12" t="n">
        <v>15</v>
      </c>
      <c r="E49" s="13" t="n">
        <v>14</v>
      </c>
      <c r="F49" s="13">
        <f>D49*E49</f>
        <v/>
      </c>
    </row>
    <row r="50" ht="20" customHeight="1">
      <c r="A50" s="10" t="n">
        <v>25</v>
      </c>
      <c r="B50" s="11" t="inlineStr">
        <is>
          <t>Bote sifónico en baños con rejilla cromada</t>
        </is>
      </c>
      <c r="C50" s="10" t="inlineStr">
        <is>
          <t>ud</t>
        </is>
      </c>
      <c r="D50" s="12" t="n">
        <v>2</v>
      </c>
      <c r="E50" s="13" t="n">
        <v>42</v>
      </c>
      <c r="F50" s="13">
        <f>D50*E50</f>
        <v/>
      </c>
    </row>
    <row r="51" ht="20" customHeight="1">
      <c r="A51" s="10" t="n">
        <v>26</v>
      </c>
      <c r="B51" s="11" t="inlineStr">
        <is>
          <t>Sumideros sifónicos en ducha y lavadero</t>
        </is>
      </c>
      <c r="C51" s="10" t="inlineStr">
        <is>
          <t>ud</t>
        </is>
      </c>
      <c r="D51" s="12" t="n">
        <v>2</v>
      </c>
      <c r="E51" s="13" t="n">
        <v>58</v>
      </c>
      <c r="F51" s="13">
        <f>D51*E51</f>
        <v/>
      </c>
    </row>
    <row r="52" ht="20" customHeight="1">
      <c r="A52" s="10" t="n">
        <v>27</v>
      </c>
      <c r="B52" s="11" t="inlineStr">
        <is>
          <t>Arqueta sifónica de registro en exterior (si aplica)</t>
        </is>
      </c>
      <c r="C52" s="10" t="inlineStr">
        <is>
          <t>ud</t>
        </is>
      </c>
      <c r="D52" s="12" t="n">
        <v>1</v>
      </c>
      <c r="E52" s="13" t="n">
        <v>140</v>
      </c>
      <c r="F52" s="13">
        <f>D52*E52</f>
        <v/>
      </c>
    </row>
    <row r="53" ht="22" customHeight="1">
      <c r="A53" s="8" t="inlineStr">
        <is>
          <t>CAPÍTULO 6 — PRUEBAS, DOCUMENTACIÓN Y SEGURIDAD</t>
        </is>
      </c>
      <c r="B53" s="9" t="n"/>
      <c r="C53" s="9" t="n"/>
      <c r="D53" s="9" t="n"/>
      <c r="E53" s="9" t="n"/>
      <c r="F53" s="9" t="n"/>
    </row>
    <row r="54" ht="20" customHeight="1">
      <c r="A54" s="10" t="n">
        <v>28</v>
      </c>
      <c r="B54" s="11" t="inlineStr">
        <is>
          <t>Prueba de presión y estanqueidad (CTE DB-HS4 apdo. 5.2.2)</t>
        </is>
      </c>
      <c r="C54" s="10" t="inlineStr">
        <is>
          <t>ud</t>
        </is>
      </c>
      <c r="D54" s="12" t="n">
        <v>1</v>
      </c>
      <c r="E54" s="13" t="n">
        <v>120</v>
      </c>
      <c r="F54" s="13">
        <f>D54*E54</f>
        <v/>
      </c>
    </row>
    <row r="55" ht="20" customHeight="1">
      <c r="A55" s="10" t="n">
        <v>29</v>
      </c>
      <c r="B55" s="11" t="inlineStr">
        <is>
          <t>Lavado + desinfección con hipoclorito (RD 140/2003 Anexo IV)</t>
        </is>
      </c>
      <c r="C55" s="10" t="inlineStr">
        <is>
          <t>ud</t>
        </is>
      </c>
      <c r="D55" s="12" t="n">
        <v>1</v>
      </c>
      <c r="E55" s="13" t="n">
        <v>85</v>
      </c>
      <c r="F55" s="13">
        <f>D55*E55</f>
        <v/>
      </c>
    </row>
    <row r="56" ht="20" customHeight="1">
      <c r="A56" s="10" t="n">
        <v>30</v>
      </c>
      <c r="B56" s="11" t="inlineStr">
        <is>
          <t>Boletín ITIAC registrado en Industria</t>
        </is>
      </c>
      <c r="C56" s="10" t="inlineStr">
        <is>
          <t>ud</t>
        </is>
      </c>
      <c r="D56" s="12" t="n">
        <v>1</v>
      </c>
      <c r="E56" s="13" t="n">
        <v>140</v>
      </c>
      <c r="F56" s="13">
        <f>D56*E56</f>
        <v/>
      </c>
    </row>
    <row r="57" ht="20" customHeight="1">
      <c r="A57" s="10" t="n">
        <v>31</v>
      </c>
      <c r="B57" s="11" t="inlineStr">
        <is>
          <t>Plan de Seguridad y Salud + EPIs instalador</t>
        </is>
      </c>
      <c r="C57" s="10" t="inlineStr">
        <is>
          <t>ud</t>
        </is>
      </c>
      <c r="D57" s="12" t="n">
        <v>1</v>
      </c>
      <c r="E57" s="13" t="n">
        <v>95</v>
      </c>
      <c r="F57" s="13">
        <f>D57*E57</f>
        <v/>
      </c>
    </row>
    <row r="59" ht="22" customHeight="1">
      <c r="B59" s="4" t="inlineStr">
        <is>
          <t>RESUMEN ECONÓMICO — RD 1098/2001</t>
        </is>
      </c>
    </row>
    <row r="60">
      <c r="B60" s="5" t="inlineStr">
        <is>
          <t>PEM — Presupuesto de Ejecución Material</t>
        </is>
      </c>
      <c r="C60" s="6" t="inlineStr">
        <is>
          <t>Coste directo: materiales + mano de obra + maquinaria</t>
        </is>
      </c>
      <c r="F60" s="14">
        <f>F22+F23+F24+F25+F26+F27+F29+F30+F31+F32+F33+F34+F36+F37+F38+F40+F41+F42+F43+F44+F45+F46+F48+F49+F50+F51+F52+F54+F55+F56+F57</f>
        <v/>
      </c>
    </row>
    <row r="61">
      <c r="B61" s="15" t="inlineStr">
        <is>
          <t>+ Gastos generales (13 %)</t>
        </is>
      </c>
      <c r="C61" s="6" t="inlineStr">
        <is>
          <t>Estructura empresa: oficina, seguros, indirectos</t>
        </is>
      </c>
      <c r="F61" s="16">
        <f>F60*0.13</f>
        <v/>
      </c>
    </row>
    <row r="62">
      <c r="B62" s="15" t="inlineStr">
        <is>
          <t>+ Beneficio industrial (6 %)</t>
        </is>
      </c>
      <c r="C62" s="6" t="inlineStr">
        <is>
          <t>Rentabilidad del contratista</t>
        </is>
      </c>
      <c r="F62" s="16">
        <f>F60*0.06</f>
        <v/>
      </c>
    </row>
    <row r="63" ht="24" customHeight="1">
      <c r="B63" s="17">
        <f> PEC — Presupuesto por Contrata (sin IVA)</f>
        <v/>
      </c>
      <c r="F63" s="18">
        <f>F60+F61+F62</f>
        <v/>
      </c>
    </row>
    <row r="64">
      <c r="B64" s="15" t="inlineStr">
        <is>
          <t>+ IVA</t>
        </is>
      </c>
      <c r="C64" s="6" t="inlineStr">
        <is>
          <t>▼ Elige 10 % (reforma viv. habitual) o 21 % (obra nueva/local)</t>
        </is>
      </c>
      <c r="E64" s="19" t="n">
        <v>10</v>
      </c>
      <c r="F64" s="16">
        <f>F63*E64/100</f>
        <v/>
      </c>
    </row>
    <row r="65" ht="32" customHeight="1">
      <c r="B65" s="20" t="inlineStr">
        <is>
          <t>TOTAL A PAGAR</t>
        </is>
      </c>
      <c r="F65" s="21">
        <f>F63+F64</f>
        <v/>
      </c>
    </row>
    <row r="67" ht="20" customHeight="1">
      <c r="B67" s="4" t="inlineStr">
        <is>
          <t>CONDICIONES GENERALES</t>
        </is>
      </c>
    </row>
    <row r="68" ht="22" customHeight="1">
      <c r="B68" s="22" t="inlineStr">
        <is>
          <t>1. Presupuesto válido durante 30 días naturales desde la fecha de emisión.</t>
        </is>
      </c>
    </row>
    <row r="69" ht="22" customHeight="1">
      <c r="B69" s="22" t="inlineStr">
        <is>
          <t>2. Forma de pago: anticipo 40 % a la firma + certificaciones mensuales + 10 % a recepción final.</t>
        </is>
      </c>
    </row>
    <row r="70" ht="22" customHeight="1">
      <c r="B70" s="22" t="inlineStr">
        <is>
          <t>3. Plazo de ejecución: a convenir tras firma del contrato según disponibilidad y alcance.</t>
        </is>
      </c>
    </row>
    <row r="71" ht="22" customHeight="1">
      <c r="B71" s="22" t="inlineStr">
        <is>
          <t>4. Garantías conforme a la LOE (Ley 38/1999): 10 años estructura, 3 años habitabilidad, 1 año acabados.</t>
        </is>
      </c>
    </row>
    <row r="72" ht="22" customHeight="1">
      <c r="B72" s="22" t="inlineStr">
        <is>
          <t>5. No incluye gestión de licencias, proyecto técnico visado ni tasas municipales salvo que se indique.</t>
        </is>
      </c>
    </row>
    <row r="73" ht="22" customHeight="1">
      <c r="B73" s="22" t="inlineStr">
        <is>
          <t>6. Cualquier modificación del alcance se documentará como precio contradictorio firmado por ambas partes.</t>
        </is>
      </c>
    </row>
    <row r="76">
      <c r="B76" s="23" t="inlineStr">
        <is>
          <t>La empresa (firma y sello)</t>
        </is>
      </c>
      <c r="E76" s="23" t="inlineStr">
        <is>
          <t>El cliente (firma y fecha)</t>
        </is>
      </c>
    </row>
    <row r="80" ht="40" customHeight="1">
      <c r="A80" s="24" t="inlineStr">
        <is>
          <t>⚠️ Aviso editorial: esta plantilla es un modelo orientativo. Las partidas, precios y referencias normativas no sustituyen al asesoramiento de un abogado, fiscalista o técnico titulado. Consulta siempre a tu asesor antes de firmar, facturar o ejecutar obra. Ver aviso completo en la hoja Instrucciones.</t>
        </is>
      </c>
    </row>
    <row r="82">
      <c r="A82" s="25" t="inlineStr">
        <is>
          <t>Generado con Motor de Presupuestos · motordepresupuestos.com</t>
        </is>
      </c>
    </row>
  </sheetData>
  <mergeCells count="39">
    <mergeCell ref="B65:E65"/>
    <mergeCell ref="B72:F72"/>
    <mergeCell ref="C15:G15"/>
    <mergeCell ref="B59:F59"/>
    <mergeCell ref="A4:G4"/>
    <mergeCell ref="C14:G14"/>
    <mergeCell ref="B71:F71"/>
    <mergeCell ref="A21:F21"/>
    <mergeCell ref="C64:D64"/>
    <mergeCell ref="B70:F70"/>
    <mergeCell ref="C60:E60"/>
    <mergeCell ref="A47:F47"/>
    <mergeCell ref="C10:G10"/>
    <mergeCell ref="C16:G16"/>
    <mergeCell ref="C61:E61"/>
    <mergeCell ref="B67:F67"/>
    <mergeCell ref="A35:F35"/>
    <mergeCell ref="A82:G82"/>
    <mergeCell ref="A53:F53"/>
    <mergeCell ref="C9:G9"/>
    <mergeCell ref="B6:G6"/>
    <mergeCell ref="B73:F73"/>
    <mergeCell ref="A1:G1"/>
    <mergeCell ref="A28:F28"/>
    <mergeCell ref="B69:F69"/>
    <mergeCell ref="C8:G8"/>
    <mergeCell ref="A39:F39"/>
    <mergeCell ref="C17:G17"/>
    <mergeCell ref="C62:E62"/>
    <mergeCell ref="B68:F68"/>
    <mergeCell ref="C7:G7"/>
    <mergeCell ref="A80:G80"/>
    <mergeCell ref="E76:F76"/>
    <mergeCell ref="B76:C76"/>
    <mergeCell ref="A2:G2"/>
    <mergeCell ref="B12:G12"/>
    <mergeCell ref="C13:G13"/>
    <mergeCell ref="C18:G18"/>
    <mergeCell ref="C63:E63"/>
  </mergeCells>
  <dataValidations count="1">
    <dataValidation sqref="E64" showDropDown="0" showInputMessage="0" showErrorMessage="0" allowBlank="0" errorTitle="IVA fuera del rango permitido" error="Elige 10 (reforma en vivienda habitual con antigüedad &gt; 2 años, Ley 37/1992 art. 91.uno.2) o 21 (obra nueva o local)." promptTitle="Tipo de IVA aplicable" prompt="10 % = reforma en vivienda habitual con antigüedad &gt; 2 años (Ley 37/1992 art. 91.uno.2).&#10;21 % = obra nueva, ampliación, 2ª residencia o local comercial." type="list">
      <formula1>"10,21"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0" customWidth="1" min="2" max="2"/>
    <col width="3" customWidth="1" min="3" max="3"/>
  </cols>
  <sheetData>
    <row r="1" ht="55" customHeight="1">
      <c r="A1" s="1" t="inlineStr">
        <is>
          <t>CÓMO USAR ESTA PLANTILLA</t>
        </is>
      </c>
    </row>
    <row r="3">
      <c r="B3" s="26" t="inlineStr">
        <is>
          <t>1. Rellena los datos de tu empresa y del cliente</t>
        </is>
      </c>
    </row>
    <row r="4" ht="30" customHeight="1">
      <c r="B4" s="22" t="inlineStr">
        <is>
          <t>Completa los bloques en amarillo con tu razón social, NIF, dirección, y los del cliente que recibirá el presupuesto.</t>
        </is>
      </c>
    </row>
    <row r="6">
      <c r="B6" s="26" t="inlineStr">
        <is>
          <t>2. Ajusta las partidas según el alcance real del trabajo</t>
        </is>
      </c>
    </row>
    <row r="7" ht="50" customHeight="1">
      <c r="B7" s="22" t="inlineStr">
        <is>
          <t>Esta plantilla incluye las partidas habituales del oficio con referencias a normativa técnica española (REBT, CTE DB-HS, UNE-EN, RD aplicables). Elimina las que no apliquen, modifica cantidades y precios, o añade filas nuevas si tu trabajo incluye algo adicional.</t>
        </is>
      </c>
    </row>
    <row r="9">
      <c r="B9" s="26" t="inlineStr">
        <is>
          <t>3. Elige el % de IVA aplicable (desplegable)</t>
        </is>
      </c>
    </row>
    <row r="10" ht="50" customHeight="1">
      <c r="B10" s="22" t="inlineStr">
        <is>
          <t>La celda amarilla del IVA es un desplegable: 10 % para reforma en vivienda habitual con antigüedad mayor de 2 años (Ley 37/1992 art. 91.uno.2); 21 % para obra nueva, ampliación, 2ª residencia o local comercial. Consulta con tu asesor fiscal ante dudas sobre tu caso particular.</t>
        </is>
      </c>
    </row>
    <row r="12">
      <c r="B12" s="26" t="inlineStr">
        <is>
          <t>4. Las fórmulas hacen los cálculos automáticamente</t>
        </is>
      </c>
    </row>
    <row r="13" ht="50" customHeight="1">
      <c r="B13" s="22" t="inlineStr">
        <is>
          <t>PEM = suma de importes de partidas · GG = 13 % del PEM (RD 1098/2001) · BI = 6 % del PEM · PEC = PEM + GG + BI · IVA = porcentaje sobre PEC · TOTAL = PEC + IVA. No toques las celdas con fórmulas salvo que sepas lo que haces.</t>
        </is>
      </c>
    </row>
    <row r="15">
      <c r="B15" s="26" t="inlineStr">
        <is>
          <t>5. Imprime o guarda como PDF y envíalo al cliente</t>
        </is>
      </c>
    </row>
    <row r="16" ht="30" customHeight="1">
      <c r="B16" s="22" t="inlineStr">
        <is>
          <t>Excel permite exportar a PDF desde Archivo → Exportar → Crear PDF. El formato queda profesional en papel y en móvil.</t>
        </is>
      </c>
    </row>
    <row r="19">
      <c r="B19" s="26" t="inlineStr">
        <is>
          <t>⚠️ AVISO EDITORIAL — IMPORTANTE</t>
        </is>
      </c>
    </row>
    <row r="21">
      <c r="B21" s="26" t="inlineStr">
        <is>
          <t>Información orientativa, no asesoramiento profesional</t>
        </is>
      </c>
    </row>
    <row r="22" ht="50" customHeight="1">
      <c r="B22" s="22" t="inlineStr">
        <is>
          <t>Esta plantilla es un modelo de trabajo de referencia. Las partidas, precios y referencias normativas son orientativos y no sustituyen al asesoramiento de un abogado, fiscalista, arquitecto, aparejador o técnico titulado. La normativa citada (Ley del IVA, LOE, CTE, REBT, RD 1098/2001, RD 1627/1997 y similares) está sujeta a cambios; consulta siempre el texto consolidado en el BOE y a tu asesor antes de firmar, facturar o ejecutar obra. Motor de Presupuestos y Alberto Cuitó Martín no asumen responsabilidad por decisiones o daños derivados del uso de esta plantilla.</t>
        </is>
      </c>
    </row>
    <row r="25">
      <c r="B25" s="26" t="inlineStr">
        <is>
          <t>▶ ¿Haces muchos presupuestos al mes?</t>
        </is>
      </c>
    </row>
    <row r="27">
      <c r="B27" s="26" t="inlineStr">
        <is>
          <t>Motor de Presupuestos automatiza todo esto</t>
        </is>
      </c>
    </row>
    <row r="28" ht="50" customHeight="1">
      <c r="B28" s="22" t="inlineStr">
        <is>
          <t>Con IA que monta el presupuesto por voz en 30 segundos, catálogo de 3.650 partidas técnicas con normativa española ya aplicada, firma digital del cliente en el acto, y envío por WhatsApp con PDF profesional. Desde 39 €/mes sin permanencia.</t>
        </is>
      </c>
    </row>
    <row r="30">
      <c r="B30" s="26" t="inlineStr">
        <is>
          <t>Prueba gratis en:</t>
        </is>
      </c>
    </row>
    <row r="31" ht="30" customHeight="1">
      <c r="B31" s="22" t="inlineStr">
        <is>
          <t>https://panel.motordepresupuestos.com/auth</t>
        </is>
      </c>
    </row>
    <row r="33">
      <c r="B33" s="26" t="inlineStr">
        <is>
          <t>O escribe por WhatsApp al fundador:</t>
        </is>
      </c>
    </row>
    <row r="34" ht="30" customHeight="1">
      <c r="B34" s="22" t="inlineStr">
        <is>
          <t>667 47 41 17 — Alberto Cuitó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2026-04-18T20:53:31Z</dcterms:created>
  <dcterms:modified xmlns:dcterms="http://purl.org/dc/terms/" xmlns:xsi="http://www.w3.org/2001/XMLSchema-instance" xsi:type="dcterms:W3CDTF">2026-04-18T20:53:31Z</dcterms:modified>
</cp:coreProperties>
</file>