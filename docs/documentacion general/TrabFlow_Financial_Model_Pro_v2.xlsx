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Dashboard" sheetId="1" state="visible" r:id="rId2"/>
    <sheet name="Supuestos" sheetId="2" state="visible" r:id="rId3"/>
    <sheet name="Mensual_Conservador" sheetId="3" state="visible" r:id="rId4"/>
    <sheet name="Mensual_Base" sheetId="4" state="visible" r:id="rId5"/>
    <sheet name="Mensual_Agresivo" sheetId="5" state="visible" r:id="rId6"/>
    <sheet name="P&amp;L Anual" sheetId="6" state="visible" r:id="rId7"/>
    <sheet name="Unit Economics" sheetId="7" state="visible" r:id="rId8"/>
    <sheet name="Escenarios" sheetId="8" state="visible" r:id="rId9"/>
    <sheet name="Use of Funds" sheetId="9" state="visible" r:id="rId10"/>
    <sheet name="Notas y Fuentes" sheetId="10" state="visible" r:id="rId11"/>
  </sheets>
  <definedNames>
    <definedName function="false" hidden="false" localSheetId="0" name="_xlnm.Print_Titles" vbProcedure="false">Dashboard!$1:$1</definedName>
    <definedName function="false" hidden="false" localSheetId="7" name="_xlnm.Print_Titles" vbProcedure="false">Escenarios!$1:$1</definedName>
    <definedName function="false" hidden="false" localSheetId="4" name="_xlnm.Print_Titles" vbProcedure="false">Mensual_Agresivo!$1:$1</definedName>
    <definedName function="false" hidden="false" localSheetId="3" name="_xlnm.Print_Titles" vbProcedure="false">Mensual_Base!$1:$1</definedName>
    <definedName function="false" hidden="false" localSheetId="2" name="_xlnm.Print_Titles" vbProcedure="false">Mensual_Conservador!$1:$1</definedName>
    <definedName function="false" hidden="false" localSheetId="9" name="_xlnm.Print_Titles" vbProcedure="false">'Notas y Fuentes'!$1:$1</definedName>
    <definedName function="false" hidden="false" localSheetId="5" name="_xlnm.Print_Titles" vbProcedure="false">'P&amp;L Anual'!$1:$1</definedName>
    <definedName function="false" hidden="false" localSheetId="1" name="_xlnm.Print_Titles" vbProcedure="false">Supuestos!$1:$1</definedName>
    <definedName function="false" hidden="false" localSheetId="6" name="_xlnm.Print_Titles" vbProcedure="false">'Unit Economics'!$1:$1</definedName>
    <definedName function="false" hidden="false" localSheetId="8" name="_xlnm.Print_Titles" vbProcedure="false">'Use of Funds'!$1:$1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<sst xmlns="http://schemas.openxmlformats.org/spreadsheetml/2006/main" count="219" uniqueCount="147">
  <si>
    <t xml:space="preserve">TRABFLOW — MODELO FINANCIERO</t>
  </si>
  <si>
    <t xml:space="preserve">Resumen ejecutivo · TrabFlow Technologies, S.L. · Junio 2026</t>
  </si>
  <si>
    <t xml:space="preserve">Clientes · cierre Año 3 (Base)</t>
  </si>
  <si>
    <t xml:space="preserve">ARR · cierre Año 3 (Base)</t>
  </si>
  <si>
    <t xml:space="preserve">EBITDA incl. CAC · Año 3 (Base)</t>
  </si>
  <si>
    <t xml:space="preserve">Ratio LTV:CAC (Base)</t>
  </si>
  <si>
    <t xml:space="preserve">Payback CAC · meses (Base)</t>
  </si>
  <si>
    <t xml:space="preserve">Crecimiento de MRR a 36 meses, por escenario</t>
  </si>
  <si>
    <t xml:space="preserve">ARR de cierre por año y escenario</t>
  </si>
  <si>
    <t xml:space="preserve">Asignación del capital por tramo (Use of Funds)</t>
  </si>
  <si>
    <t xml:space="preserve">SUPUESTOS DEL MODELO</t>
  </si>
  <si>
    <t xml:space="preserve">TrabFlow Technologies, S.L. · Modelo financiero a 3 años · Junio 2026</t>
  </si>
  <si>
    <t xml:space="preserve">Todas las celdas en azul son entradas editables. El resto de hojas calcula a partir de estos supuestos: cambiar un valor aquí recalcula todo el modelo.</t>
  </si>
  <si>
    <t xml:space="preserve">Parámetro</t>
  </si>
  <si>
    <t xml:space="preserve">Conservador</t>
  </si>
  <si>
    <t xml:space="preserve">Base</t>
  </si>
  <si>
    <t xml:space="preserve">Agresivo</t>
  </si>
  <si>
    <t xml:space="preserve">Unidad</t>
  </si>
  <si>
    <t xml:space="preserve">Fuente / Nota</t>
  </si>
  <si>
    <t xml:space="preserve">Clientes iniciales</t>
  </si>
  <si>
    <t xml:space="preserve">clientes</t>
  </si>
  <si>
    <t xml:space="preserve">Cartera de partida estimada por el fundador (sin datos de cliente de pago auditados aún).</t>
  </si>
  <si>
    <t xml:space="preserve">Altas netas mensuales</t>
  </si>
  <si>
    <t xml:space="preserve">clientes/mes</t>
  </si>
  <si>
    <t xml:space="preserve">Ritmo de adquisición mensual constante asumido. Base = hipótesis inicial del fundador; Conservador/Agresivo = sensibilidad ±.</t>
  </si>
  <si>
    <t xml:space="preserve">Churn mensual</t>
  </si>
  <si>
    <t xml:space="preserve">%</t>
  </si>
  <si>
    <t xml:space="preserve">Referencia de mercado SaaS vertical SMB (1,5–3,5% mensual). Pendiente de validar con cohortes reales de TrabFlow.</t>
  </si>
  <si>
    <t xml:space="preserve">ARPU mensual</t>
  </si>
  <si>
    <t xml:space="preserve">€/cliente/mes</t>
  </si>
  <si>
    <t xml:space="preserve">Base = precio público del plan Profesional (49€/mes). Agresivo asume mayor mezcla hacia planes Empresa (89€) y Empresa+ (179€).</t>
  </si>
  <si>
    <t xml:space="preserve">CAC</t>
  </si>
  <si>
    <t xml:space="preserve">€/cliente</t>
  </si>
  <si>
    <t xml:space="preserve">Coste de adquisición por cliente. Mejora en el escenario Agresivo por eficiencia de canal (gremios/referidos) a escala. Hipótesis de modelo, no medido aún.</t>
  </si>
  <si>
    <t xml:space="preserve">Coste IA / infraestructura</t>
  </si>
  <si>
    <t xml:space="preserve">Supabase + Claude API + Whisper STT, estimado por cliente activo.</t>
  </si>
  <si>
    <t xml:space="preserve">Costes fijos mensuales</t>
  </si>
  <si>
    <t xml:space="preserve">€/mes</t>
  </si>
  <si>
    <t xml:space="preserve">Estructura mínima actual (founder-led): herramientas, hosting base, gestoría, otros gastos fijos.</t>
  </si>
  <si>
    <t xml:space="preserve">Notas de revisión</t>
  </si>
  <si>
    <t xml:space="preserve">• Los escenarios Conservador y Agresivo se han reconstruido para que ARPU, CAC, churn y ritmo de altas se combinen de forma consistente; no son cifras objetivo fijadas a mano.</t>
  </si>
  <si>
    <t xml:space="preserve">• El EBITDA se muestra en dos versiones en la hoja P&amp;L Anual: antes y después del coste de adquisición (CAC), porque el CAC es una decisión de inversión en crecimiento, no un coste fijo de operación.</t>
  </si>
  <si>
    <t xml:space="preserve">• CAC y churn son hipótesis de partida, no datos observados con clientes reales. Deben tratarse como rango de planificación, no como resultado garantizado.</t>
  </si>
  <si>
    <t xml:space="preserve">PROYECCIÓN MENSUAL — ESCENARIO CONSERVADOR</t>
  </si>
  <si>
    <t xml:space="preserve">36 meses · todas las celdas son fórmulas ligadas a la hoja Supuestos</t>
  </si>
  <si>
    <t xml:space="preserve">Fuente de supuestos: hoja Supuestos, columna B (Conservador)</t>
  </si>
  <si>
    <t xml:space="preserve">Mes</t>
  </si>
  <si>
    <t xml:space="preserve">Clientes activos</t>
  </si>
  <si>
    <t xml:space="preserve">Altas netas</t>
  </si>
  <si>
    <t xml:space="preserve">MRR</t>
  </si>
  <si>
    <t xml:space="preserve">ARR (run-rate)</t>
  </si>
  <si>
    <t xml:space="preserve">Coste CAC</t>
  </si>
  <si>
    <t xml:space="preserve">Coste IA/infra</t>
  </si>
  <si>
    <t xml:space="preserve">Costes fijos</t>
  </si>
  <si>
    <t xml:space="preserve">Beneficio bruto</t>
  </si>
  <si>
    <t xml:space="preserve">EBITDA antes de CAC</t>
  </si>
  <si>
    <t xml:space="preserve">EBITDA incl. CAC</t>
  </si>
  <si>
    <t xml:space="preserve">PROYECCIÓN MENSUAL — ESCENARIO BASE</t>
  </si>
  <si>
    <t xml:space="preserve">Fuente de supuestos: hoja Supuestos, columna C (Base)</t>
  </si>
  <si>
    <t xml:space="preserve">PROYECCIÓN MENSUAL — ESCENARIO AGRESIVO</t>
  </si>
  <si>
    <t xml:space="preserve">Fuente de supuestos: hoja Supuestos, columna D (Agresivo)</t>
  </si>
  <si>
    <t xml:space="preserve">CUENTA DE RESULTADOS ANUAL · 3 ESCENARIOS</t>
  </si>
  <si>
    <t xml:space="preserve">EBITDA antes de CAC = ingresos − coste de IA/infraestructura − costes fijos (excluye inversión en adquisición). EBITDA incl. CAC resta además el gasto de adquisición de clientes del propio año.</t>
  </si>
  <si>
    <t xml:space="preserve">Escenario</t>
  </si>
  <si>
    <t xml:space="preserve">Año</t>
  </si>
  <si>
    <t xml:space="preserve">Ingresos</t>
  </si>
  <si>
    <t xml:space="preserve">Margen (antes CAC)</t>
  </si>
  <si>
    <t xml:space="preserve">Margen (incl. CAC)</t>
  </si>
  <si>
    <t xml:space="preserve">Año 1</t>
  </si>
  <si>
    <t xml:space="preserve">Año 2</t>
  </si>
  <si>
    <t xml:space="preserve">Año 3</t>
  </si>
  <si>
    <t xml:space="preserve">UNIT ECONOMICS</t>
  </si>
  <si>
    <t xml:space="preserve">LTV, CAC y periodo de recuperación por escenario · fórmulas ligadas a Supuestos</t>
  </si>
  <si>
    <t xml:space="preserve">Fórmulas: vida media = 1 / churn mensual · LTV = ARPU × vida media · Payback = CAC / margen de contribución mensual.</t>
  </si>
  <si>
    <t xml:space="preserve">Métrica</t>
  </si>
  <si>
    <t xml:space="preserve">Vida media estimada (meses)</t>
  </si>
  <si>
    <t xml:space="preserve">Margen de contribución mensual (ARPU − infra)</t>
  </si>
  <si>
    <t xml:space="preserve">LTV bruto (ARPU × vida media)</t>
  </si>
  <si>
    <t xml:space="preserve">LTV neto (margen contribución × vida media)</t>
  </si>
  <si>
    <t xml:space="preserve">Ratio LTV:CAC (neto)</t>
  </si>
  <si>
    <t xml:space="preserve">Periodo de recuperación del CAC (meses)</t>
  </si>
  <si>
    <t xml:space="preserve">Lectura</t>
  </si>
  <si>
    <t xml:space="preserve">Un ratio LTV:CAC superior a 3x se considera saludable en SaaS B2B. Las cifras de este modelo superan ese umbral incluso en el escenario Conservador, pero CAC y churn son hipótesis de modelo, no datos observados: deben tratarse como objetivo de validación con las primeras cohortes reales, no como resultado garantizado.</t>
  </si>
  <si>
    <t xml:space="preserve">COMPARATIVA DE ESCENARIOS · ARR DE CIERRE</t>
  </si>
  <si>
    <t xml:space="preserve">ARR (run-rate anualizado) al cierre de cada año, por escenario · ligado a las hojas mensuales</t>
  </si>
  <si>
    <t xml:space="preserve">ARR de cierre de año = MRR del último mes del año × 12 (run-rate, no ingreso real cobrado en el año; ver hoja P&amp;L Anual para ingreso real).</t>
  </si>
  <si>
    <t xml:space="preserve">USE OF FUNDS</t>
  </si>
  <si>
    <t xml:space="preserve">Asignación del capital por tramo de inversión · importes y porcentajes</t>
  </si>
  <si>
    <t xml:space="preserve">Categoría</t>
  </si>
  <si>
    <t xml:space="preserve">50.000€</t>
  </si>
  <si>
    <t xml:space="preserve">100.000€</t>
  </si>
  <si>
    <t xml:space="preserve">250.000€</t>
  </si>
  <si>
    <t xml:space="preserve">500.000€</t>
  </si>
  <si>
    <t xml:space="preserve">Producto</t>
  </si>
  <si>
    <t xml:space="preserve">Marketing</t>
  </si>
  <si>
    <t xml:space="preserve">Equipo</t>
  </si>
  <si>
    <t xml:space="preserve">Operaciones</t>
  </si>
  <si>
    <t xml:space="preserve">Reserva</t>
  </si>
  <si>
    <t xml:space="preserve">TOTAL</t>
  </si>
  <si>
    <t xml:space="preserve">% sobre el total del tramo</t>
  </si>
  <si>
    <t xml:space="preserve">Objetivo principal por tramo</t>
  </si>
  <si>
    <t xml:space="preserve">Importe</t>
  </si>
  <si>
    <t xml:space="preserve">Objetivo principal</t>
  </si>
  <si>
    <t xml:space="preserve">Alcanzar Product-Market Fit: completar la Base Maestra crítica y validar retención con las primeras cohortes reales.</t>
  </si>
  <si>
    <t xml:space="preserve">Llegar a 100 clientes de pago con un canal de adquisición ya repetible.</t>
  </si>
  <si>
    <t xml:space="preserve">Financiar la expansión a Iberia (Portugal): adaptación de producto, certificación fiscal y primer equipo comercial local.</t>
  </si>
  <si>
    <t xml:space="preserve">Financiar la entrada en LATAM (México): adaptación a CFDI, equipo local y primer ciclo de adquisición fuera de España.</t>
  </si>
  <si>
    <t xml:space="preserve">Nota: se ha añadido una línea de Reserva (5%) en los tramos de 50.000€ y 100.000€ para que la suma de categorías coincida exactamente con el importe levantado; en los tramos de 250.000€ y 500.000€ la asignación original ya sumaba el 100%.</t>
  </si>
  <si>
    <t xml:space="preserve">NOTAS METODOLÓGICAS Y FUENTES</t>
  </si>
  <si>
    <t xml:space="preserve">Documentación de supuestos, correcciones y trazabilidad del modelo</t>
  </si>
  <si>
    <t xml:space="preserve">Cambios respecto a la versión anterior del modelo</t>
  </si>
  <si>
    <t xml:space="preserve">1. Los tres escenarios (Conservador / Base / Agresivo) ahora comparten el mismo motor de cálculo mensual y solo difieren en sus supuestos de entrada (altas mensuales, churn, ARPU, CAC). En la versión anterior, el resumen de escenarios (450.000€ / 1.200.000€ / 2.500.000€ de ARR a 3 años) era una estimación independiente, no derivada del modelo mensual detallado, lo que generaba una inconsistencia entre ambas cifras.</t>
  </si>
  <si>
    <t xml:space="preserve">2. Con los supuestos reconstruidos, el ARR de cierre de año 3 resultante es de aproximadamente 119.000€ (Conservador), 318.000€ (Base) y 927.000€ (Agresivo). Estas cifras son inferiores a las de la versión anterior, pero sí están completamente trazadas y son recalculables si cambian los supuestos.</t>
  </si>
  <si>
    <t xml:space="preserve">3. Se ha incorporado el coste de adquisición (CAC) a la cuenta de resultados anual. La versión anterior calculaba el EBITDA sin restar el gasto de CAC, lo que sobrestimaba la rentabilidad real. El modelo actual muestra ambas métricas por separado y claramente etiquetadas: «EBITDA antes de CAC» (capacidad de generación de caja del negocio ya instalado) y «EBITDA incl. CAC» (rentabilidad real dado el ritmo de inversión en crecimiento elegido).</t>
  </si>
  <si>
    <t xml:space="preserve">4. Se ha añadido una línea de «Reserva» del 5% en los tramos de Use of Funds de 50.000€ y 100.000€, donde la suma original de categorías no llegaba al importe total levantado.</t>
  </si>
  <si>
    <t xml:space="preserve">Fuentes de los supuestos clave</t>
  </si>
  <si>
    <t xml:space="preserve">Dato</t>
  </si>
  <si>
    <t xml:space="preserve">Valor</t>
  </si>
  <si>
    <t xml:space="preserve">Fuente</t>
  </si>
  <si>
    <t xml:space="preserve">Autónomos registrados en España</t>
  </si>
  <si>
    <t xml:space="preserve">3.431.797 (31/12/2025)</t>
  </si>
  <si>
    <t xml:space="preserve">Ministerio de Trabajo y Economía Social / Infoautonomos, datos oficiales, en máximos históricos.</t>
  </si>
  <si>
    <t xml:space="preserve">Adopción de IA entre autónomos</t>
  </si>
  <si>
    <t xml:space="preserve">20% usa IA de forma habitual</t>
  </si>
  <si>
    <t xml:space="preserve">UPTA (Unión de Profesionales y Trabajadores Autónomos), análisis publicado junio 2026.</t>
  </si>
  <si>
    <t xml:space="preserve">Empresas del sector de instalaciones eléctricas</t>
  </si>
  <si>
    <t xml:space="preserve">10.300 empresas · ≈19.300M€ de facturación 2023 (1,29% del PIB)</t>
  </si>
  <si>
    <t xml:space="preserve">Guía de Empresas Instaladoras del Sector Eléctrico, C de Comunicación.</t>
  </si>
  <si>
    <t xml:space="preserve">Salarios de electricistas y fontaneros autónomos</t>
  </si>
  <si>
    <t xml:space="preserve">Electricistas 2.500–3.500€/mes · Fontaneros 2.000–3.500€/mes</t>
  </si>
  <si>
    <t xml:space="preserve">Cronoshare, recogido por Infobae, noviembre 2025.</t>
  </si>
  <si>
    <t xml:space="preserve">Plazo VeriFactu</t>
  </si>
  <si>
    <t xml:space="preserve">Sociedades: 1 ene 2027 · Autónomos: 1 jul 2027</t>
  </si>
  <si>
    <t xml:space="preserve">RD 1007/2023, modificado por el RDL 15/2025 de 2 de diciembre.</t>
  </si>
  <si>
    <t xml:space="preserve">Kit Digital — reactivación 2026</t>
  </si>
  <si>
    <t xml:space="preserve">Bonos de hasta 12.000–19.000€, fondos remanentes, sin fecha de cierre fija</t>
  </si>
  <si>
    <t xml:space="preserve">Orden TDF/39/2026, BOE 28 de enero de 2026.</t>
  </si>
  <si>
    <t xml:space="preserve">Precio plan Profesional TrabFlow</t>
  </si>
  <si>
    <t xml:space="preserve">49€/mes</t>
  </si>
  <si>
    <t xml:space="preserve">Tarifa pública TrabFlow (usada como ARPU base del modelo).</t>
  </si>
  <si>
    <t xml:space="preserve">ServiceTitan (referencia de categoría, EE. UU.)</t>
  </si>
  <si>
    <t xml:space="preserve">≈7.000M$ capitalización · ≈1.000M$ ingresos anuales</t>
  </si>
  <si>
    <t xml:space="preserve">Datos públicos de mercado, mediados de 2026.</t>
  </si>
  <si>
    <t xml:space="preserve">Jobber (referencia de categoría, EE. UU./Canadá)</t>
  </si>
  <si>
    <t xml:space="preserve">167,5M$ de ingresos (2024) · 100.000+ clientes</t>
  </si>
  <si>
    <t xml:space="preserve">Estimaciones públicas (Sacra, Tracxn).</t>
  </si>
  <si>
    <t xml:space="preserve">CAC y churn son hipótesis de planificación, no datos medidos con clientes de pago de TrabFlow. Deben revisarse en cuanto existan las primeras cohortes reales.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</si>
</sst>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#,##0\€;\(#,##0&quot;€)&quot;;\-"/>
    <numFmt numFmtId="167" formatCode="0.0\x"/>
    <numFmt numFmtId="168" formatCode="#,##0.0"/>
    <numFmt numFmtId="169" formatCode="0.0%"/>
    <numFmt numFmtId="170" formatCode="General"/>
  </numFmts>
  <fonts count="2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C2535"/>
      <name val="Arial"/>
      <family val="0"/>
      <charset val="1"/>
    </font>
    <font>
      <i val="true"/>
      <sz val="12"/>
      <color rgb="FF1A5A96"/>
      <name val="Arial"/>
      <family val="0"/>
      <charset val="1"/>
    </font>
    <font>
      <sz val="9"/>
      <color rgb="FF6B7A8D"/>
      <name val="Arial"/>
      <family val="0"/>
      <charset val="1"/>
    </font>
    <font>
      <b val="true"/>
      <sz val="18"/>
      <color rgb="FF1A5A96"/>
      <name val="Arial"/>
      <family val="0"/>
      <charset val="1"/>
    </font>
    <font>
      <b val="true"/>
      <sz val="18"/>
      <color rgb="FF4A6741"/>
      <name val="Arial"/>
      <family val="0"/>
      <charset val="1"/>
    </font>
    <font>
      <b val="true"/>
      <sz val="18"/>
      <color rgb="FFC8922A"/>
      <name val="Arial"/>
      <family val="0"/>
      <charset val="1"/>
    </font>
    <font>
      <b val="true"/>
      <sz val="12"/>
      <color rgb="FF1A5A9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1"/>
      <color rgb="FF1A5A96"/>
      <name val="Arial"/>
      <family val="0"/>
      <charset val="1"/>
    </font>
    <font>
      <i val="true"/>
      <sz val="8.5"/>
      <color rgb="FF6B7A8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C2535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B7A8D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6B7A8D"/>
      <name val="Arial"/>
      <family val="0"/>
      <charset val="1"/>
    </font>
    <font>
      <sz val="10"/>
      <color rgb="FF1C2535"/>
      <name val="Arial"/>
      <family val="0"/>
      <charset val="1"/>
    </font>
    <font>
      <b val="true"/>
      <sz val="11"/>
      <color rgb="FF1A5A96"/>
      <name val="Arial"/>
      <family val="0"/>
      <charset val="1"/>
    </font>
    <font>
      <b val="true"/>
      <sz val="11"/>
      <color rgb="FF4A6741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7F4F0"/>
        <bgColor rgb="FFFFFFFF"/>
      </patternFill>
    </fill>
    <fill>
      <patternFill patternType="solid">
        <fgColor rgb="FF1C2535"/>
        <bgColor rgb="FF333300"/>
      </patternFill>
    </fill>
    <fill>
      <patternFill patternType="solid">
        <fgColor rgb="FFC8922A"/>
        <bgColor rgb="FF98B85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4CC"/>
      </left>
      <right style="thin">
        <color rgb="FFD9D4CC"/>
      </right>
      <top style="thin">
        <color rgb="FFD9D4CC"/>
      </top>
      <bottom style="thin">
        <color rgb="FFD9D4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9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9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9" fontId="1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1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2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2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3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3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4A6741"/>
      <rgbColor rgb="FF800080"/>
      <rgbColor rgb="FF008080"/>
      <rgbColor rgb="FFD9D4CC"/>
      <rgbColor rgb="FF878787"/>
      <rgbColor rgb="FF9999FF"/>
      <rgbColor rgb="FFBE4B48"/>
      <rgbColor rgb="FFF7F4F0"/>
      <rgbColor rgb="FFCCFFFF"/>
      <rgbColor rgb="FF660066"/>
      <rgbColor rgb="FFFF8080"/>
      <rgbColor rgb="FF1A5A9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BBB59"/>
      <rgbColor rgb="FFFF99CC"/>
      <rgbColor rgb="FFCC99FF"/>
      <rgbColor rgb="FFFFCC99"/>
      <rgbColor rgb="FF4A7EBB"/>
      <rgbColor rgb="FF4BACC6"/>
      <rgbColor rgb="FF98B855"/>
      <rgbColor rgb="FFFFCC00"/>
      <rgbColor rgb="FFC8922A"/>
      <rgbColor rgb="FFFF6600"/>
      <rgbColor rgb="FF8064A2"/>
      <rgbColor rgb="FF6B7A8D"/>
      <rgbColor rgb="FF003366"/>
      <rgbColor rgb="FF4F81BD"/>
      <rgbColor rgb="FF003300"/>
      <rgbColor rgb="FF333300"/>
      <rgbColor rgb="FF993300"/>
      <rgbColor rgb="FFC0504D"/>
      <rgbColor rgb="FF333399"/>
      <rgbColor rgb="FF1C25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MRR mensual — 36 meses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"Conservador"</c:f>
              <c:strCache>
                <c:ptCount val="1"/>
                <c:pt idx="0">
                  <c:v>Conservador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Mensual_Base!$A$5:$A$40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Mensual_Conservador!$D$5:$D$40</c:f>
              <c:numCache>
                <c:formatCode>General</c:formatCode>
                <c:ptCount val="36"/>
                <c:pt idx="0">
                  <c:v>2621.25</c:v>
                </c:pt>
                <c:pt idx="1">
                  <c:v>2979.50625</c:v>
                </c:pt>
                <c:pt idx="2">
                  <c:v>3325.22353125</c:v>
                </c:pt>
                <c:pt idx="3">
                  <c:v>3658.84070765625</c:v>
                </c:pt>
                <c:pt idx="4">
                  <c:v>3980.78128288828</c:v>
                </c:pt>
                <c:pt idx="5">
                  <c:v>4291.45393798719</c:v>
                </c:pt>
                <c:pt idx="6">
                  <c:v>4591.25305015764</c:v>
                </c:pt>
                <c:pt idx="7">
                  <c:v>4880.55919340212</c:v>
                </c:pt>
                <c:pt idx="8">
                  <c:v>5159.73962163305</c:v>
                </c:pt>
                <c:pt idx="9">
                  <c:v>5429.14873487589</c:v>
                </c:pt>
                <c:pt idx="10">
                  <c:v>5689.12852915523</c:v>
                </c:pt>
                <c:pt idx="11">
                  <c:v>5940.0090306348</c:v>
                </c:pt>
                <c:pt idx="12">
                  <c:v>6182.10871456258</c:v>
                </c:pt>
                <c:pt idx="13">
                  <c:v>6415.73490955289</c:v>
                </c:pt>
                <c:pt idx="14">
                  <c:v>6641.18418771854</c:v>
                </c:pt>
                <c:pt idx="15">
                  <c:v>6858.74274114839</c:v>
                </c:pt>
                <c:pt idx="16">
                  <c:v>7068.6867452082</c:v>
                </c:pt>
                <c:pt idx="17">
                  <c:v>7271.28270912591</c:v>
                </c:pt>
                <c:pt idx="18">
                  <c:v>7466.7878143065</c:v>
                </c:pt>
                <c:pt idx="19">
                  <c:v>7655.45024080578</c:v>
                </c:pt>
                <c:pt idx="20">
                  <c:v>7837.50948237757</c:v>
                </c:pt>
                <c:pt idx="21">
                  <c:v>8013.19665049436</c:v>
                </c:pt>
                <c:pt idx="22">
                  <c:v>8182.73476772705</c:v>
                </c:pt>
                <c:pt idx="23">
                  <c:v>8346.33905085661</c:v>
                </c:pt>
                <c:pt idx="24">
                  <c:v>8504.21718407663</c:v>
                </c:pt>
                <c:pt idx="25">
                  <c:v>8656.56958263395</c:v>
                </c:pt>
                <c:pt idx="26">
                  <c:v>8803.58964724176</c:v>
                </c:pt>
                <c:pt idx="27">
                  <c:v>8945.4640095883</c:v>
                </c:pt>
                <c:pt idx="28">
                  <c:v>9082.3727692527</c:v>
                </c:pt>
                <c:pt idx="29">
                  <c:v>9214.48972232886</c:v>
                </c:pt>
                <c:pt idx="30">
                  <c:v>9341.98258204735</c:v>
                </c:pt>
                <c:pt idx="31">
                  <c:v>9465.01319167569</c:v>
                </c:pt>
                <c:pt idx="32">
                  <c:v>9583.73772996704</c:v>
                </c:pt>
                <c:pt idx="33">
                  <c:v>9698.3069094182</c:v>
                </c:pt>
                <c:pt idx="34">
                  <c:v>9808.86616758856</c:v>
                </c:pt>
                <c:pt idx="35">
                  <c:v>9915.55585172296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"Base"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Mensual_Base!$A$5:$A$40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Mensual_Base!$D$5:$D$40</c:f>
              <c:numCache>
                <c:formatCode>General</c:formatCode>
                <c:ptCount val="36"/>
                <c:pt idx="0">
                  <c:v>3381</c:v>
                </c:pt>
                <c:pt idx="1">
                  <c:v>4293.38</c:v>
                </c:pt>
                <c:pt idx="2">
                  <c:v>5187.5124</c:v>
                </c:pt>
                <c:pt idx="3">
                  <c:v>6063.762152</c:v>
                </c:pt>
                <c:pt idx="4">
                  <c:v>6922.48690896</c:v>
                </c:pt>
                <c:pt idx="5">
                  <c:v>7764.0371707808</c:v>
                </c:pt>
                <c:pt idx="6">
                  <c:v>8588.75642736518</c:v>
                </c:pt>
                <c:pt idx="7">
                  <c:v>9396.98129881788</c:v>
                </c:pt>
                <c:pt idx="8">
                  <c:v>10189.0416728415</c:v>
                </c:pt>
                <c:pt idx="9">
                  <c:v>10965.2608393847</c:v>
                </c:pt>
                <c:pt idx="10">
                  <c:v>11725.955622597</c:v>
                </c:pt>
                <c:pt idx="11">
                  <c:v>12471.4365101451</c:v>
                </c:pt>
                <c:pt idx="12">
                  <c:v>13202.0077799422</c:v>
                </c:pt>
                <c:pt idx="13">
                  <c:v>13917.9676243433</c:v>
                </c:pt>
                <c:pt idx="14">
                  <c:v>14619.6082718564</c:v>
                </c:pt>
                <c:pt idx="15">
                  <c:v>15307.2161064193</c:v>
                </c:pt>
                <c:pt idx="16">
                  <c:v>15981.0717842909</c:v>
                </c:pt>
                <c:pt idx="17">
                  <c:v>16641.4503486051</c:v>
                </c:pt>
                <c:pt idx="18">
                  <c:v>17288.621341633</c:v>
                </c:pt>
                <c:pt idx="19">
                  <c:v>17922.8489148003</c:v>
                </c:pt>
                <c:pt idx="20">
                  <c:v>18544.3919365043</c:v>
                </c:pt>
                <c:pt idx="21">
                  <c:v>19153.5040977743</c:v>
                </c:pt>
                <c:pt idx="22">
                  <c:v>19750.4340158188</c:v>
                </c:pt>
                <c:pt idx="23">
                  <c:v>20335.4253355024</c:v>
                </c:pt>
                <c:pt idx="24">
                  <c:v>20908.7168287923</c:v>
                </c:pt>
                <c:pt idx="25">
                  <c:v>21470.5424922165</c:v>
                </c:pt>
                <c:pt idx="26">
                  <c:v>22021.1316423722</c:v>
                </c:pt>
                <c:pt idx="27">
                  <c:v>22560.7090095247</c:v>
                </c:pt>
                <c:pt idx="28">
                  <c:v>23089.4948293342</c:v>
                </c:pt>
                <c:pt idx="29">
                  <c:v>23607.7049327475</c:v>
                </c:pt>
                <c:pt idx="30">
                  <c:v>24115.5508340926</c:v>
                </c:pt>
                <c:pt idx="31">
                  <c:v>24613.2398174107</c:v>
                </c:pt>
                <c:pt idx="32">
                  <c:v>25100.9750210625</c:v>
                </c:pt>
                <c:pt idx="33">
                  <c:v>25578.9555206413</c:v>
                </c:pt>
                <c:pt idx="34">
                  <c:v>26047.3764102284</c:v>
                </c:pt>
                <c:pt idx="35">
                  <c:v>26506.4288820239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"Agresivo"</c:f>
              <c:strCache>
                <c:ptCount val="1"/>
                <c:pt idx="0">
                  <c:v>Agresivo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Mensual_Base!$A$5:$A$40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Mensual_Agresivo!$D$5:$D$40</c:f>
              <c:numCache>
                <c:formatCode>General</c:formatCode>
                <c:ptCount val="36"/>
                <c:pt idx="0">
                  <c:v>5655</c:v>
                </c:pt>
                <c:pt idx="1">
                  <c:v>8270.175</c:v>
                </c:pt>
                <c:pt idx="2">
                  <c:v>10846.122375</c:v>
                </c:pt>
                <c:pt idx="3">
                  <c:v>13383.430539375</c:v>
                </c:pt>
                <c:pt idx="4">
                  <c:v>15882.6790812844</c:v>
                </c:pt>
                <c:pt idx="5">
                  <c:v>18344.4388950651</c:v>
                </c:pt>
                <c:pt idx="6">
                  <c:v>20769.2723116391</c:v>
                </c:pt>
                <c:pt idx="7">
                  <c:v>23157.7332269645</c:v>
                </c:pt>
                <c:pt idx="8">
                  <c:v>25510.3672285601</c:v>
                </c:pt>
                <c:pt idx="9">
                  <c:v>27827.7117201317</c:v>
                </c:pt>
                <c:pt idx="10">
                  <c:v>30110.2960443297</c:v>
                </c:pt>
                <c:pt idx="11">
                  <c:v>32358.6416036648</c:v>
                </c:pt>
                <c:pt idx="12">
                  <c:v>34573.2619796098</c:v>
                </c:pt>
                <c:pt idx="13">
                  <c:v>36754.6630499156</c:v>
                </c:pt>
                <c:pt idx="14">
                  <c:v>38903.3431041669</c:v>
                </c:pt>
                <c:pt idx="15">
                  <c:v>41019.7929576044</c:v>
                </c:pt>
                <c:pt idx="16">
                  <c:v>43104.4960632403</c:v>
                </c:pt>
                <c:pt idx="17">
                  <c:v>45157.9286222917</c:v>
                </c:pt>
                <c:pt idx="18">
                  <c:v>47180.5596929573</c:v>
                </c:pt>
                <c:pt idx="19">
                  <c:v>49172.851297563</c:v>
                </c:pt>
                <c:pt idx="20">
                  <c:v>51135.2585280995</c:v>
                </c:pt>
                <c:pt idx="21">
                  <c:v>53068.229650178</c:v>
                </c:pt>
                <c:pt idx="22">
                  <c:v>54972.2062054254</c:v>
                </c:pt>
                <c:pt idx="23">
                  <c:v>56847.623112344</c:v>
                </c:pt>
                <c:pt idx="24">
                  <c:v>58694.9087656588</c:v>
                </c:pt>
                <c:pt idx="25">
                  <c:v>60514.485134174</c:v>
                </c:pt>
                <c:pt idx="26">
                  <c:v>62306.7678571614</c:v>
                </c:pt>
                <c:pt idx="27">
                  <c:v>64072.1663393039</c:v>
                </c:pt>
                <c:pt idx="28">
                  <c:v>65811.0838442144</c:v>
                </c:pt>
                <c:pt idx="29">
                  <c:v>67523.9175865512</c:v>
                </c:pt>
                <c:pt idx="30">
                  <c:v>69211.0588227529</c:v>
                </c:pt>
                <c:pt idx="31">
                  <c:v>70872.8929404116</c:v>
                </c:pt>
                <c:pt idx="32">
                  <c:v>72509.7995463054</c:v>
                </c:pt>
                <c:pt idx="33">
                  <c:v>74122.1525531108</c:v>
                </c:pt>
                <c:pt idx="34">
                  <c:v>75710.3202648142</c:v>
                </c:pt>
                <c:pt idx="35">
                  <c:v>77274.665460842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8698048"/>
        <c:axId val="32325997"/>
      </c:lineChart>
      <c:catAx>
        <c:axId val="186980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325997"/>
        <c:crosses val="autoZero"/>
        <c:auto val="1"/>
        <c:lblAlgn val="ctr"/>
        <c:lblOffset val="100"/>
        <c:noMultiLvlLbl val="0"/>
      </c:catAx>
      <c:valAx>
        <c:axId val="323259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MRR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\€;\(#,##0&quot;€)&quot;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6980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ARR de cierre por año y escenario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Escenarios!B4</c:f>
              <c:strCache>
                <c:ptCount val="1"/>
                <c:pt idx="0">
                  <c:v>Conservador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Escenarios!$A$5:$A$7</c:f>
              <c:strCache>
                <c:ptCount val="3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</c:strCache>
            </c:strRef>
          </c:cat>
          <c:val>
            <c:numRef>
              <c:f>Escenarios!$B$5:$B$7</c:f>
              <c:numCache>
                <c:formatCode>General</c:formatCode>
                <c:ptCount val="3"/>
                <c:pt idx="0">
                  <c:v>71280.1083676176</c:v>
                </c:pt>
                <c:pt idx="1">
                  <c:v>100156.068610279</c:v>
                </c:pt>
                <c:pt idx="2">
                  <c:v>118986.670220676</c:v>
                </c:pt>
              </c:numCache>
            </c:numRef>
          </c:val>
        </c:ser>
        <c:ser>
          <c:idx val="1"/>
          <c:order val="1"/>
          <c:tx>
            <c:strRef>
              <c:f>Escenarios!C4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Escenarios!$A$5:$A$7</c:f>
              <c:strCache>
                <c:ptCount val="3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</c:strCache>
            </c:strRef>
          </c:cat>
          <c:val>
            <c:numRef>
              <c:f>Escenarios!$C$5:$C$7</c:f>
              <c:numCache>
                <c:formatCode>General</c:formatCode>
                <c:ptCount val="3"/>
                <c:pt idx="0">
                  <c:v>149657.238121741</c:v>
                </c:pt>
                <c:pt idx="1">
                  <c:v>244025.104026029</c:v>
                </c:pt>
                <c:pt idx="2">
                  <c:v>318077.146584287</c:v>
                </c:pt>
              </c:numCache>
            </c:numRef>
          </c:val>
        </c:ser>
        <c:ser>
          <c:idx val="2"/>
          <c:order val="2"/>
          <c:tx>
            <c:strRef>
              <c:f>Escenarios!D4</c:f>
              <c:strCache>
                <c:ptCount val="1"/>
                <c:pt idx="0">
                  <c:v>Agresivo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Escenarios!$A$5:$A$7</c:f>
              <c:strCache>
                <c:ptCount val="3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</c:strCache>
            </c:strRef>
          </c:cat>
          <c:val>
            <c:numRef>
              <c:f>Escenarios!$D$5:$D$7</c:f>
              <c:numCache>
                <c:formatCode>General</c:formatCode>
                <c:ptCount val="3"/>
                <c:pt idx="0">
                  <c:v>388303.699243977</c:v>
                </c:pt>
                <c:pt idx="1">
                  <c:v>682171.477348128</c:v>
                </c:pt>
                <c:pt idx="2">
                  <c:v>927295.985530103</c:v>
                </c:pt>
              </c:numCache>
            </c:numRef>
          </c:val>
        </c:ser>
        <c:gapWidth val="150"/>
        <c:overlap val="0"/>
        <c:axId val="17211362"/>
        <c:axId val="27691169"/>
      </c:barChart>
      <c:catAx>
        <c:axId val="1721136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691169"/>
        <c:crosses val="autoZero"/>
        <c:auto val="1"/>
        <c:lblAlgn val="ctr"/>
        <c:lblOffset val="100"/>
        <c:noMultiLvlLbl val="0"/>
      </c:catAx>
      <c:valAx>
        <c:axId val="276911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ARR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\€;\(#,##0&quot;€)&quot;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2113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Use of Funds por tramo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'Use of Funds'!A5</c:f>
              <c:strCache>
                <c:ptCount val="1"/>
                <c:pt idx="0">
                  <c:v>Producto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of Funds'!$B$4:$E$4</c:f>
              <c:strCache>
                <c:ptCount val="4"/>
                <c:pt idx="0">
                  <c:v>50.000€</c:v>
                </c:pt>
                <c:pt idx="1">
                  <c:v>100.000€</c:v>
                </c:pt>
                <c:pt idx="2">
                  <c:v>250.000€</c:v>
                </c:pt>
                <c:pt idx="3">
                  <c:v>500.000€</c:v>
                </c:pt>
              </c:strCache>
            </c:strRef>
          </c:cat>
          <c:val>
            <c:numRef>
              <c:f>'Use of Funds'!$B$5:$E$5</c:f>
              <c:numCache>
                <c:formatCode>General</c:formatCode>
                <c:ptCount val="4"/>
                <c:pt idx="0">
                  <c:v>20000</c:v>
                </c:pt>
                <c:pt idx="1">
                  <c:v>35000</c:v>
                </c:pt>
                <c:pt idx="2">
                  <c:v>75000</c:v>
                </c:pt>
                <c:pt idx="3">
                  <c:v>125000</c:v>
                </c:pt>
              </c:numCache>
            </c:numRef>
          </c:val>
        </c:ser>
        <c:ser>
          <c:idx val="1"/>
          <c:order val="1"/>
          <c:tx>
            <c:strRef>
              <c:f>'Use of Funds'!A6</c:f>
              <c:strCache>
                <c:ptCount val="1"/>
                <c:pt idx="0">
                  <c:v>Marketing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of Funds'!$B$4:$E$4</c:f>
              <c:strCache>
                <c:ptCount val="4"/>
                <c:pt idx="0">
                  <c:v>50.000€</c:v>
                </c:pt>
                <c:pt idx="1">
                  <c:v>100.000€</c:v>
                </c:pt>
                <c:pt idx="2">
                  <c:v>250.000€</c:v>
                </c:pt>
                <c:pt idx="3">
                  <c:v>500.000€</c:v>
                </c:pt>
              </c:strCache>
            </c:strRef>
          </c:cat>
          <c:val>
            <c:numRef>
              <c:f>'Use of Funds'!$B$6:$E$6</c:f>
              <c:numCache>
                <c:formatCode>General</c:formatCode>
                <c:ptCount val="4"/>
                <c:pt idx="0">
                  <c:v>12500</c:v>
                </c:pt>
                <c:pt idx="1">
                  <c:v>30000</c:v>
                </c:pt>
                <c:pt idx="2">
                  <c:v>87500</c:v>
                </c:pt>
                <c:pt idx="3">
                  <c:v>175000</c:v>
                </c:pt>
              </c:numCache>
            </c:numRef>
          </c:val>
        </c:ser>
        <c:ser>
          <c:idx val="2"/>
          <c:order val="2"/>
          <c:tx>
            <c:strRef>
              <c:f>'Use of Funds'!A7</c:f>
              <c:strCache>
                <c:ptCount val="1"/>
                <c:pt idx="0">
                  <c:v>Equipo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of Funds'!$B$4:$E$4</c:f>
              <c:strCache>
                <c:ptCount val="4"/>
                <c:pt idx="0">
                  <c:v>50.000€</c:v>
                </c:pt>
                <c:pt idx="1">
                  <c:v>100.000€</c:v>
                </c:pt>
                <c:pt idx="2">
                  <c:v>250.000€</c:v>
                </c:pt>
                <c:pt idx="3">
                  <c:v>500.000€</c:v>
                </c:pt>
              </c:strCache>
            </c:strRef>
          </c:cat>
          <c:val>
            <c:numRef>
              <c:f>'Use of Funds'!$B$7:$E$7</c:f>
              <c:numCache>
                <c:formatCode>General</c:formatCode>
                <c:ptCount val="4"/>
                <c:pt idx="0">
                  <c:v>10000</c:v>
                </c:pt>
                <c:pt idx="1">
                  <c:v>20000</c:v>
                </c:pt>
                <c:pt idx="2">
                  <c:v>62500</c:v>
                </c:pt>
                <c:pt idx="3">
                  <c:v>150000</c:v>
                </c:pt>
              </c:numCache>
            </c:numRef>
          </c:val>
        </c:ser>
        <c:ser>
          <c:idx val="3"/>
          <c:order val="3"/>
          <c:tx>
            <c:strRef>
              <c:f>'Use of Funds'!A8</c:f>
              <c:strCache>
                <c:ptCount val="1"/>
                <c:pt idx="0">
                  <c:v>Operaciones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of Funds'!$B$4:$E$4</c:f>
              <c:strCache>
                <c:ptCount val="4"/>
                <c:pt idx="0">
                  <c:v>50.000€</c:v>
                </c:pt>
                <c:pt idx="1">
                  <c:v>100.000€</c:v>
                </c:pt>
                <c:pt idx="2">
                  <c:v>250.000€</c:v>
                </c:pt>
                <c:pt idx="3">
                  <c:v>500.000€</c:v>
                </c:pt>
              </c:strCache>
            </c:strRef>
          </c:cat>
          <c:val>
            <c:numRef>
              <c:f>'Use of Funds'!$B$8:$E$8</c:f>
              <c:numCache>
                <c:formatCode>General</c:formatCode>
                <c:ptCount val="4"/>
                <c:pt idx="0">
                  <c:v>5000</c:v>
                </c:pt>
                <c:pt idx="1">
                  <c:v>10000</c:v>
                </c:pt>
                <c:pt idx="2">
                  <c:v>25000</c:v>
                </c:pt>
                <c:pt idx="3">
                  <c:v>50000</c:v>
                </c:pt>
              </c:numCache>
            </c:numRef>
          </c:val>
        </c:ser>
        <c:ser>
          <c:idx val="4"/>
          <c:order val="4"/>
          <c:tx>
            <c:strRef>
              <c:f>'Use of Funds'!A9</c:f>
              <c:strCache>
                <c:ptCount val="1"/>
                <c:pt idx="0">
                  <c:v>Reserva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of Funds'!$B$4:$E$4</c:f>
              <c:strCache>
                <c:ptCount val="4"/>
                <c:pt idx="0">
                  <c:v>50.000€</c:v>
                </c:pt>
                <c:pt idx="1">
                  <c:v>100.000€</c:v>
                </c:pt>
                <c:pt idx="2">
                  <c:v>250.000€</c:v>
                </c:pt>
                <c:pt idx="3">
                  <c:v>500.000€</c:v>
                </c:pt>
              </c:strCache>
            </c:strRef>
          </c:cat>
          <c:val>
            <c:numRef>
              <c:f>'Use of Funds'!$B$9:$E$9</c:f>
              <c:numCache>
                <c:formatCode>General</c:formatCode>
                <c:ptCount val="4"/>
                <c:pt idx="0">
                  <c:v>2500</c:v>
                </c:pt>
                <c:pt idx="1">
                  <c:v>5000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100"/>
        <c:axId val="43978511"/>
        <c:axId val="70470152"/>
      </c:barChart>
      <c:catAx>
        <c:axId val="439785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470152"/>
        <c:crosses val="autoZero"/>
        <c:auto val="1"/>
        <c:lblAlgn val="ctr"/>
        <c:lblOffset val="100"/>
        <c:noMultiLvlLbl val="0"/>
      </c:catAx>
      <c:valAx>
        <c:axId val="704701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\€;\(#,##0&quot;€)&quot;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9785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30600</xdr:colOff>
      <xdr:row>7</xdr:row>
      <xdr:rowOff>138240</xdr:rowOff>
    </xdr:from>
    <xdr:to>
      <xdr:col>5</xdr:col>
      <xdr:colOff>786240</xdr:colOff>
      <xdr:row>24</xdr:row>
      <xdr:rowOff>138960</xdr:rowOff>
    </xdr:to>
    <xdr:graphicFrame>
      <xdr:nvGraphicFramePr>
        <xdr:cNvPr id="0" name="Chart 1"/>
        <xdr:cNvGraphicFramePr/>
      </xdr:nvGraphicFramePr>
      <xdr:xfrm>
        <a:off x="30600" y="1841400"/>
        <a:ext cx="863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27</xdr:row>
      <xdr:rowOff>170280</xdr:rowOff>
    </xdr:from>
    <xdr:to>
      <xdr:col>3</xdr:col>
      <xdr:colOff>606240</xdr:colOff>
      <xdr:row>44</xdr:row>
      <xdr:rowOff>171000</xdr:rowOff>
    </xdr:to>
    <xdr:graphicFrame>
      <xdr:nvGraphicFramePr>
        <xdr:cNvPr id="1" name="Chart 2"/>
        <xdr:cNvGraphicFramePr/>
      </xdr:nvGraphicFramePr>
      <xdr:xfrm>
        <a:off x="0" y="5683320"/>
        <a:ext cx="53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719280</xdr:colOff>
      <xdr:row>28</xdr:row>
      <xdr:rowOff>27360</xdr:rowOff>
    </xdr:from>
    <xdr:to>
      <xdr:col>11</xdr:col>
      <xdr:colOff>393480</xdr:colOff>
      <xdr:row>45</xdr:row>
      <xdr:rowOff>28080</xdr:rowOff>
    </xdr:to>
    <xdr:graphicFrame>
      <xdr:nvGraphicFramePr>
        <xdr:cNvPr id="2" name="Chart 3"/>
        <xdr:cNvGraphicFramePr/>
      </xdr:nvGraphicFramePr>
      <xdr:xfrm>
        <a:off x="6922080" y="5730840"/>
        <a:ext cx="53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4" activeCellId="0" sqref="E34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2"/>
    <col collapsed="false" customWidth="true" hidden="false" outlineLevel="0" max="3" min="3" style="1" width="24"/>
    <col collapsed="false" customWidth="true" hidden="false" outlineLevel="0" max="4" min="4" style="1" width="20"/>
    <col collapsed="false" customWidth="true" hidden="false" outlineLevel="0" max="5" min="5" style="1" width="23.85"/>
    <col collapsed="false" customWidth="true" hidden="false" outlineLevel="0" max="6" min="6" style="1" width="14"/>
  </cols>
  <sheetData>
    <row r="1" customFormat="false" ht="19.7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28.9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25.5" hidden="false" customHeight="true" outlineLevel="0" collapsed="false">
      <c r="A5" s="5" t="n">
        <f aca="false">Mensual_Base!B40</f>
        <v>540.947528204569</v>
      </c>
      <c r="B5" s="6" t="n">
        <f aca="false">Escenarios!C7</f>
        <v>318077.146584287</v>
      </c>
      <c r="C5" s="7" t="n">
        <f aca="false">'P&amp;L Anual'!I11</f>
        <v>191675.843953054</v>
      </c>
      <c r="D5" s="8" t="n">
        <f aca="false">'Unit Economics'!C13</f>
        <v>18.3333333333333</v>
      </c>
      <c r="E5" s="9" t="n">
        <f aca="false">'Unit Economics'!C14</f>
        <v>2.72727272727273</v>
      </c>
    </row>
    <row r="7" customFormat="false" ht="15" hidden="false" customHeight="false" outlineLevel="0" collapsed="false">
      <c r="A7" s="10" t="s">
        <v>7</v>
      </c>
    </row>
    <row r="28" customFormat="false" ht="15" hidden="false" customHeight="false" outlineLevel="0" collapsed="false">
      <c r="A28" s="10" t="s">
        <v>8</v>
      </c>
      <c r="F28" s="10" t="s">
        <v>9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G20" activeCellId="0" sqref="G20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13"/>
    <col collapsed="false" customWidth="true" hidden="false" outlineLevel="0" max="5" min="5" style="1" width="14"/>
    <col collapsed="false" customWidth="true" hidden="false" outlineLevel="0" max="6" min="6" style="1" width="50.41"/>
  </cols>
  <sheetData>
    <row r="1" customFormat="false" ht="19.7" hidden="false" customHeight="false" outlineLevel="0" collapsed="false">
      <c r="A1" s="2" t="s">
        <v>10</v>
      </c>
    </row>
    <row r="2" customFormat="false" ht="15" hidden="false" customHeight="false" outlineLevel="0" collapsed="false">
      <c r="A2" s="11" t="s">
        <v>11</v>
      </c>
    </row>
    <row r="4" customFormat="false" ht="15" hidden="false" customHeight="false" outlineLevel="0" collapsed="false">
      <c r="A4" s="12" t="s">
        <v>12</v>
      </c>
      <c r="B4" s="12"/>
      <c r="C4" s="12"/>
      <c r="D4" s="12"/>
      <c r="E4" s="12"/>
      <c r="F4" s="12"/>
    </row>
    <row r="6" customFormat="false" ht="15" hidden="false" customHeight="false" outlineLevel="0" collapsed="false">
      <c r="A6" s="13" t="s">
        <v>13</v>
      </c>
      <c r="B6" s="13" t="s">
        <v>14</v>
      </c>
      <c r="C6" s="13" t="s">
        <v>15</v>
      </c>
      <c r="D6" s="13" t="s">
        <v>16</v>
      </c>
      <c r="E6" s="13" t="s">
        <v>17</v>
      </c>
      <c r="F6" s="13" t="s">
        <v>18</v>
      </c>
    </row>
    <row r="7" customFormat="false" ht="26.5" hidden="false" customHeight="true" outlineLevel="0" collapsed="false">
      <c r="A7" s="14" t="s">
        <v>19</v>
      </c>
      <c r="B7" s="15" t="n">
        <v>50</v>
      </c>
      <c r="C7" s="15" t="n">
        <v>50</v>
      </c>
      <c r="D7" s="15" t="n">
        <v>50</v>
      </c>
      <c r="E7" s="16" t="s">
        <v>20</v>
      </c>
      <c r="F7" s="17" t="s">
        <v>21</v>
      </c>
    </row>
    <row r="8" customFormat="false" ht="20.45" hidden="false" customHeight="false" outlineLevel="0" collapsed="false">
      <c r="A8" s="14" t="s">
        <v>22</v>
      </c>
      <c r="B8" s="15" t="n">
        <v>10</v>
      </c>
      <c r="C8" s="15" t="n">
        <v>20</v>
      </c>
      <c r="D8" s="15" t="n">
        <v>45</v>
      </c>
      <c r="E8" s="16" t="s">
        <v>23</v>
      </c>
      <c r="F8" s="17" t="s">
        <v>24</v>
      </c>
    </row>
    <row r="9" customFormat="false" ht="20.45" hidden="false" customHeight="false" outlineLevel="0" collapsed="false">
      <c r="A9" s="14" t="s">
        <v>25</v>
      </c>
      <c r="B9" s="18" t="n">
        <v>0.035</v>
      </c>
      <c r="C9" s="18" t="n">
        <v>0.02</v>
      </c>
      <c r="D9" s="18" t="n">
        <v>0.015</v>
      </c>
      <c r="E9" s="16" t="s">
        <v>26</v>
      </c>
      <c r="F9" s="17" t="s">
        <v>27</v>
      </c>
    </row>
    <row r="10" customFormat="false" ht="20.45" hidden="false" customHeight="false" outlineLevel="0" collapsed="false">
      <c r="A10" s="14" t="s">
        <v>28</v>
      </c>
      <c r="B10" s="19" t="n">
        <v>45</v>
      </c>
      <c r="C10" s="19" t="n">
        <v>49</v>
      </c>
      <c r="D10" s="19" t="n">
        <v>60</v>
      </c>
      <c r="E10" s="16" t="s">
        <v>29</v>
      </c>
      <c r="F10" s="17" t="s">
        <v>30</v>
      </c>
    </row>
    <row r="11" customFormat="false" ht="30.1" hidden="false" customHeight="false" outlineLevel="0" collapsed="false">
      <c r="A11" s="14" t="s">
        <v>31</v>
      </c>
      <c r="B11" s="19" t="n">
        <v>150</v>
      </c>
      <c r="C11" s="19" t="n">
        <v>120</v>
      </c>
      <c r="D11" s="19" t="n">
        <v>95</v>
      </c>
      <c r="E11" s="16" t="s">
        <v>32</v>
      </c>
      <c r="F11" s="17" t="s">
        <v>33</v>
      </c>
    </row>
    <row r="12" customFormat="false" ht="12.8" hidden="false" customHeight="false" outlineLevel="0" collapsed="false">
      <c r="A12" s="14" t="s">
        <v>34</v>
      </c>
      <c r="B12" s="19" t="n">
        <v>5</v>
      </c>
      <c r="C12" s="19" t="n">
        <v>5</v>
      </c>
      <c r="D12" s="19" t="n">
        <v>5</v>
      </c>
      <c r="E12" s="16" t="s">
        <v>29</v>
      </c>
      <c r="F12" s="17" t="s">
        <v>35</v>
      </c>
    </row>
    <row r="13" customFormat="false" ht="20.45" hidden="false" customHeight="false" outlineLevel="0" collapsed="false">
      <c r="A13" s="14" t="s">
        <v>36</v>
      </c>
      <c r="B13" s="19" t="n">
        <v>3000</v>
      </c>
      <c r="C13" s="19" t="n">
        <v>3000</v>
      </c>
      <c r="D13" s="19" t="n">
        <v>3000</v>
      </c>
      <c r="E13" s="16" t="s">
        <v>37</v>
      </c>
      <c r="F13" s="17" t="s">
        <v>38</v>
      </c>
    </row>
    <row r="15" customFormat="false" ht="15" hidden="false" customHeight="false" outlineLevel="0" collapsed="false">
      <c r="A15" s="10" t="s">
        <v>39</v>
      </c>
    </row>
    <row r="16" customFormat="false" ht="15" hidden="false" customHeight="false" outlineLevel="0" collapsed="false">
      <c r="A16" s="12" t="s">
        <v>40</v>
      </c>
      <c r="B16" s="12"/>
      <c r="C16" s="12"/>
      <c r="D16" s="12"/>
      <c r="E16" s="12"/>
      <c r="F16" s="12"/>
    </row>
    <row r="17" customFormat="false" ht="15" hidden="false" customHeight="false" outlineLevel="0" collapsed="false">
      <c r="A17" s="12" t="s">
        <v>41</v>
      </c>
      <c r="B17" s="12"/>
      <c r="C17" s="12"/>
      <c r="D17" s="12"/>
      <c r="E17" s="12"/>
      <c r="F17" s="12"/>
    </row>
    <row r="18" customFormat="false" ht="15" hidden="false" customHeight="false" outlineLevel="0" collapsed="false">
      <c r="A18" s="12" t="s">
        <v>42</v>
      </c>
      <c r="B18" s="12"/>
      <c r="C18" s="12"/>
      <c r="D18" s="12"/>
      <c r="E18" s="12"/>
      <c r="F18" s="12"/>
    </row>
  </sheetData>
  <mergeCells count="4">
    <mergeCell ref="A4:F4"/>
    <mergeCell ref="A16:F16"/>
    <mergeCell ref="A17:F17"/>
    <mergeCell ref="A18:F18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5"/>
    <col collapsed="false" customWidth="true" hidden="false" outlineLevel="0" max="4" min="3" style="1" width="13"/>
    <col collapsed="false" customWidth="true" hidden="false" outlineLevel="0" max="5" min="5" style="1" width="16"/>
    <col collapsed="false" customWidth="true" hidden="false" outlineLevel="0" max="6" min="6" style="1" width="13"/>
    <col collapsed="false" customWidth="true" hidden="false" outlineLevel="0" max="7" min="7" style="1" width="14"/>
    <col collapsed="false" customWidth="true" hidden="false" outlineLevel="0" max="8" min="8" style="1" width="13"/>
    <col collapsed="false" customWidth="true" hidden="false" outlineLevel="0" max="9" min="9" style="1" width="15"/>
    <col collapsed="false" customWidth="true" hidden="false" outlineLevel="0" max="10" min="10" style="1" width="17"/>
    <col collapsed="false" customWidth="true" hidden="false" outlineLevel="0" max="11" min="11" style="1" width="15"/>
  </cols>
  <sheetData>
    <row r="1" customFormat="false" ht="19.7" hidden="false" customHeight="false" outlineLevel="0" collapsed="false">
      <c r="A1" s="2" t="s">
        <v>43</v>
      </c>
    </row>
    <row r="2" customFormat="false" ht="15" hidden="false" customHeight="false" outlineLevel="0" collapsed="false">
      <c r="A2" s="11" t="s">
        <v>44</v>
      </c>
    </row>
    <row r="3" customFormat="false" ht="15" hidden="false" customHeight="false" outlineLevel="0" collapsed="false">
      <c r="A3" s="20" t="s">
        <v>45</v>
      </c>
    </row>
    <row r="4" customFormat="false" ht="30" hidden="false" customHeight="true" outlineLevel="0" collapsed="false">
      <c r="A4" s="13" t="s">
        <v>46</v>
      </c>
      <c r="B4" s="13" t="s">
        <v>47</v>
      </c>
      <c r="C4" s="13" t="s">
        <v>48</v>
      </c>
      <c r="D4" s="13" t="s">
        <v>49</v>
      </c>
      <c r="E4" s="13" t="s">
        <v>50</v>
      </c>
      <c r="F4" s="13" t="s">
        <v>51</v>
      </c>
      <c r="G4" s="13" t="s">
        <v>52</v>
      </c>
      <c r="H4" s="13" t="s">
        <v>53</v>
      </c>
      <c r="I4" s="13" t="s">
        <v>54</v>
      </c>
      <c r="J4" s="13" t="s">
        <v>55</v>
      </c>
      <c r="K4" s="13" t="s">
        <v>56</v>
      </c>
    </row>
    <row r="5" customFormat="false" ht="15" hidden="false" customHeight="false" outlineLevel="0" collapsed="false">
      <c r="A5" s="21" t="n">
        <v>1</v>
      </c>
      <c r="B5" s="22" t="n">
        <f aca="false">Supuestos!$B$7*(1-Supuestos!$B$9)+Supuestos!$B$8</f>
        <v>58.25</v>
      </c>
      <c r="C5" s="23" t="n">
        <f aca="false">Supuestos!$B$8</f>
        <v>10</v>
      </c>
      <c r="D5" s="24" t="n">
        <f aca="false">B5*Supuestos!$B$10</f>
        <v>2621.25</v>
      </c>
      <c r="E5" s="24" t="n">
        <f aca="false">D5*12</f>
        <v>31455</v>
      </c>
      <c r="F5" s="24" t="n">
        <f aca="false">C5*Supuestos!$B$11</f>
        <v>1500</v>
      </c>
      <c r="G5" s="24" t="n">
        <f aca="false">B5*Supuestos!$B$12</f>
        <v>291.25</v>
      </c>
      <c r="H5" s="25" t="n">
        <f aca="false">Supuestos!$B$13</f>
        <v>3000</v>
      </c>
      <c r="I5" s="24" t="n">
        <f aca="false">D5-G5</f>
        <v>2330</v>
      </c>
      <c r="J5" s="24" t="n">
        <f aca="false">I5-H5</f>
        <v>-670</v>
      </c>
      <c r="K5" s="24" t="n">
        <f aca="false">J5-F5</f>
        <v>-2170</v>
      </c>
    </row>
    <row r="6" customFormat="false" ht="15" hidden="false" customHeight="false" outlineLevel="0" collapsed="false">
      <c r="A6" s="26" t="n">
        <v>2</v>
      </c>
      <c r="B6" s="27" t="n">
        <f aca="false">B5*(1-Supuestos!$B$9)+Supuestos!$B$8</f>
        <v>66.21125</v>
      </c>
      <c r="C6" s="28" t="n">
        <f aca="false">Supuestos!$B$8</f>
        <v>10</v>
      </c>
      <c r="D6" s="29" t="n">
        <f aca="false">B6*Supuestos!$B$10</f>
        <v>2979.50625</v>
      </c>
      <c r="E6" s="29" t="n">
        <f aca="false">D6*12</f>
        <v>35754.075</v>
      </c>
      <c r="F6" s="29" t="n">
        <f aca="false">C6*Supuestos!$B$11</f>
        <v>1500</v>
      </c>
      <c r="G6" s="29" t="n">
        <f aca="false">B6*Supuestos!$B$12</f>
        <v>331.05625</v>
      </c>
      <c r="H6" s="30" t="n">
        <f aca="false">Supuestos!$B$13</f>
        <v>3000</v>
      </c>
      <c r="I6" s="29" t="n">
        <f aca="false">D6-G6</f>
        <v>2648.45</v>
      </c>
      <c r="J6" s="29" t="n">
        <f aca="false">I6-H6</f>
        <v>-351.55</v>
      </c>
      <c r="K6" s="29" t="n">
        <f aca="false">J6-F6</f>
        <v>-1851.55</v>
      </c>
    </row>
    <row r="7" customFormat="false" ht="15" hidden="false" customHeight="false" outlineLevel="0" collapsed="false">
      <c r="A7" s="21" t="n">
        <v>3</v>
      </c>
      <c r="B7" s="22" t="n">
        <f aca="false">B6*(1-Supuestos!$B$9)+Supuestos!$B$8</f>
        <v>73.89385625</v>
      </c>
      <c r="C7" s="23" t="n">
        <f aca="false">Supuestos!$B$8</f>
        <v>10</v>
      </c>
      <c r="D7" s="24" t="n">
        <f aca="false">B7*Supuestos!$B$10</f>
        <v>3325.22353125</v>
      </c>
      <c r="E7" s="24" t="n">
        <f aca="false">D7*12</f>
        <v>39902.682375</v>
      </c>
      <c r="F7" s="24" t="n">
        <f aca="false">C7*Supuestos!$B$11</f>
        <v>1500</v>
      </c>
      <c r="G7" s="24" t="n">
        <f aca="false">B7*Supuestos!$B$12</f>
        <v>369.46928125</v>
      </c>
      <c r="H7" s="25" t="n">
        <f aca="false">Supuestos!$B$13</f>
        <v>3000</v>
      </c>
      <c r="I7" s="24" t="n">
        <f aca="false">D7-G7</f>
        <v>2955.75425</v>
      </c>
      <c r="J7" s="24" t="n">
        <f aca="false">I7-H7</f>
        <v>-44.24575</v>
      </c>
      <c r="K7" s="24" t="n">
        <f aca="false">J7-F7</f>
        <v>-1544.24575</v>
      </c>
    </row>
    <row r="8" customFormat="false" ht="15" hidden="false" customHeight="false" outlineLevel="0" collapsed="false">
      <c r="A8" s="26" t="n">
        <v>4</v>
      </c>
      <c r="B8" s="27" t="n">
        <f aca="false">B7*(1-Supuestos!$B$9)+Supuestos!$B$8</f>
        <v>81.30757128125</v>
      </c>
      <c r="C8" s="28" t="n">
        <f aca="false">Supuestos!$B$8</f>
        <v>10</v>
      </c>
      <c r="D8" s="29" t="n">
        <f aca="false">B8*Supuestos!$B$10</f>
        <v>3658.84070765625</v>
      </c>
      <c r="E8" s="29" t="n">
        <f aca="false">D8*12</f>
        <v>43906.088491875</v>
      </c>
      <c r="F8" s="29" t="n">
        <f aca="false">C8*Supuestos!$B$11</f>
        <v>1500</v>
      </c>
      <c r="G8" s="29" t="n">
        <f aca="false">B8*Supuestos!$B$12</f>
        <v>406.53785640625</v>
      </c>
      <c r="H8" s="30" t="n">
        <f aca="false">Supuestos!$B$13</f>
        <v>3000</v>
      </c>
      <c r="I8" s="29" t="n">
        <f aca="false">D8-G8</f>
        <v>3252.30285125</v>
      </c>
      <c r="J8" s="29" t="n">
        <f aca="false">I8-H8</f>
        <v>252.30285125</v>
      </c>
      <c r="K8" s="29" t="n">
        <f aca="false">J8-F8</f>
        <v>-1247.69714875</v>
      </c>
    </row>
    <row r="9" customFormat="false" ht="15" hidden="false" customHeight="false" outlineLevel="0" collapsed="false">
      <c r="A9" s="21" t="n">
        <v>5</v>
      </c>
      <c r="B9" s="22" t="n">
        <f aca="false">B8*(1-Supuestos!$B$9)+Supuestos!$B$8</f>
        <v>88.4618062864062</v>
      </c>
      <c r="C9" s="23" t="n">
        <f aca="false">Supuestos!$B$8</f>
        <v>10</v>
      </c>
      <c r="D9" s="24" t="n">
        <f aca="false">B9*Supuestos!$B$10</f>
        <v>3980.78128288828</v>
      </c>
      <c r="E9" s="24" t="n">
        <f aca="false">D9*12</f>
        <v>47769.3753946594</v>
      </c>
      <c r="F9" s="24" t="n">
        <f aca="false">C9*Supuestos!$B$11</f>
        <v>1500</v>
      </c>
      <c r="G9" s="24" t="n">
        <f aca="false">B9*Supuestos!$B$12</f>
        <v>442.309031432031</v>
      </c>
      <c r="H9" s="25" t="n">
        <f aca="false">Supuestos!$B$13</f>
        <v>3000</v>
      </c>
      <c r="I9" s="24" t="n">
        <f aca="false">D9-G9</f>
        <v>3538.47225145625</v>
      </c>
      <c r="J9" s="24" t="n">
        <f aca="false">I9-H9</f>
        <v>538.47225145625</v>
      </c>
      <c r="K9" s="24" t="n">
        <f aca="false">J9-F9</f>
        <v>-961.52774854375</v>
      </c>
    </row>
    <row r="10" customFormat="false" ht="15" hidden="false" customHeight="false" outlineLevel="0" collapsed="false">
      <c r="A10" s="26" t="n">
        <v>6</v>
      </c>
      <c r="B10" s="27" t="n">
        <f aca="false">B9*(1-Supuestos!$B$9)+Supuestos!$B$8</f>
        <v>95.365643066382</v>
      </c>
      <c r="C10" s="28" t="n">
        <f aca="false">Supuestos!$B$8</f>
        <v>10</v>
      </c>
      <c r="D10" s="29" t="n">
        <f aca="false">B10*Supuestos!$B$10</f>
        <v>4291.45393798719</v>
      </c>
      <c r="E10" s="29" t="n">
        <f aca="false">D10*12</f>
        <v>51497.4472558463</v>
      </c>
      <c r="F10" s="29" t="n">
        <f aca="false">C10*Supuestos!$B$11</f>
        <v>1500</v>
      </c>
      <c r="G10" s="29" t="n">
        <f aca="false">B10*Supuestos!$B$12</f>
        <v>476.82821533191</v>
      </c>
      <c r="H10" s="30" t="n">
        <f aca="false">Supuestos!$B$13</f>
        <v>3000</v>
      </c>
      <c r="I10" s="29" t="n">
        <f aca="false">D10-G10</f>
        <v>3814.62572265528</v>
      </c>
      <c r="J10" s="29" t="n">
        <f aca="false">I10-H10</f>
        <v>814.625722655281</v>
      </c>
      <c r="K10" s="29" t="n">
        <f aca="false">J10-F10</f>
        <v>-685.374277344719</v>
      </c>
    </row>
    <row r="11" customFormat="false" ht="15" hidden="false" customHeight="false" outlineLevel="0" collapsed="false">
      <c r="A11" s="21" t="n">
        <v>7</v>
      </c>
      <c r="B11" s="22" t="n">
        <f aca="false">B10*(1-Supuestos!$B$9)+Supuestos!$B$8</f>
        <v>102.027845559059</v>
      </c>
      <c r="C11" s="23" t="n">
        <f aca="false">Supuestos!$B$8</f>
        <v>10</v>
      </c>
      <c r="D11" s="24" t="n">
        <f aca="false">B11*Supuestos!$B$10</f>
        <v>4591.25305015764</v>
      </c>
      <c r="E11" s="24" t="n">
        <f aca="false">D11*12</f>
        <v>55095.0366018917</v>
      </c>
      <c r="F11" s="24" t="n">
        <f aca="false">C11*Supuestos!$B$11</f>
        <v>1500</v>
      </c>
      <c r="G11" s="24" t="n">
        <f aca="false">B11*Supuestos!$B$12</f>
        <v>510.139227795293</v>
      </c>
      <c r="H11" s="25" t="n">
        <f aca="false">Supuestos!$B$13</f>
        <v>3000</v>
      </c>
      <c r="I11" s="24" t="n">
        <f aca="false">D11-G11</f>
        <v>4081.11382236235</v>
      </c>
      <c r="J11" s="24" t="n">
        <f aca="false">I11-H11</f>
        <v>1081.11382236235</v>
      </c>
      <c r="K11" s="24" t="n">
        <f aca="false">J11-F11</f>
        <v>-418.886177637654</v>
      </c>
    </row>
    <row r="12" customFormat="false" ht="15" hidden="false" customHeight="false" outlineLevel="0" collapsed="false">
      <c r="A12" s="26" t="n">
        <v>8</v>
      </c>
      <c r="B12" s="27" t="n">
        <f aca="false">B11*(1-Supuestos!$B$9)+Supuestos!$B$8</f>
        <v>108.456870964492</v>
      </c>
      <c r="C12" s="28" t="n">
        <f aca="false">Supuestos!$B$8</f>
        <v>10</v>
      </c>
      <c r="D12" s="29" t="n">
        <f aca="false">B12*Supuestos!$B$10</f>
        <v>4880.55919340212</v>
      </c>
      <c r="E12" s="29" t="n">
        <f aca="false">D12*12</f>
        <v>58566.7103208255</v>
      </c>
      <c r="F12" s="29" t="n">
        <f aca="false">C12*Supuestos!$B$11</f>
        <v>1500</v>
      </c>
      <c r="G12" s="29" t="n">
        <f aca="false">B12*Supuestos!$B$12</f>
        <v>542.284354822458</v>
      </c>
      <c r="H12" s="30" t="n">
        <f aca="false">Supuestos!$B$13</f>
        <v>3000</v>
      </c>
      <c r="I12" s="29" t="n">
        <f aca="false">D12-G12</f>
        <v>4338.27483857966</v>
      </c>
      <c r="J12" s="29" t="n">
        <f aca="false">I12-H12</f>
        <v>1338.27483857966</v>
      </c>
      <c r="K12" s="29" t="n">
        <f aca="false">J12-F12</f>
        <v>-161.725161420337</v>
      </c>
    </row>
    <row r="13" customFormat="false" ht="15" hidden="false" customHeight="false" outlineLevel="0" collapsed="false">
      <c r="A13" s="21" t="n">
        <v>9</v>
      </c>
      <c r="B13" s="22" t="n">
        <f aca="false">B12*(1-Supuestos!$B$9)+Supuestos!$B$8</f>
        <v>114.660880480734</v>
      </c>
      <c r="C13" s="23" t="n">
        <f aca="false">Supuestos!$B$8</f>
        <v>10</v>
      </c>
      <c r="D13" s="24" t="n">
        <f aca="false">B13*Supuestos!$B$10</f>
        <v>5159.73962163305</v>
      </c>
      <c r="E13" s="24" t="n">
        <f aca="false">D13*12</f>
        <v>61916.8754595966</v>
      </c>
      <c r="F13" s="24" t="n">
        <f aca="false">C13*Supuestos!$B$11</f>
        <v>1500</v>
      </c>
      <c r="G13" s="24" t="n">
        <f aca="false">B13*Supuestos!$B$12</f>
        <v>573.304402403672</v>
      </c>
      <c r="H13" s="25" t="n">
        <f aca="false">Supuestos!$B$13</f>
        <v>3000</v>
      </c>
      <c r="I13" s="24" t="n">
        <f aca="false">D13-G13</f>
        <v>4586.43521922938</v>
      </c>
      <c r="J13" s="24" t="n">
        <f aca="false">I13-H13</f>
        <v>1586.43521922938</v>
      </c>
      <c r="K13" s="24" t="n">
        <f aca="false">J13-F13</f>
        <v>86.4352192293754</v>
      </c>
    </row>
    <row r="14" customFormat="false" ht="15" hidden="false" customHeight="false" outlineLevel="0" collapsed="false">
      <c r="A14" s="26" t="n">
        <v>10</v>
      </c>
      <c r="B14" s="27" t="n">
        <f aca="false">B13*(1-Supuestos!$B$9)+Supuestos!$B$8</f>
        <v>120.647749663909</v>
      </c>
      <c r="C14" s="28" t="n">
        <f aca="false">Supuestos!$B$8</f>
        <v>10</v>
      </c>
      <c r="D14" s="29" t="n">
        <f aca="false">B14*Supuestos!$B$10</f>
        <v>5429.14873487589</v>
      </c>
      <c r="E14" s="29" t="n">
        <f aca="false">D14*12</f>
        <v>65149.7848185107</v>
      </c>
      <c r="F14" s="29" t="n">
        <f aca="false">C14*Supuestos!$B$11</f>
        <v>1500</v>
      </c>
      <c r="G14" s="29" t="n">
        <f aca="false">B14*Supuestos!$B$12</f>
        <v>603.238748319543</v>
      </c>
      <c r="H14" s="30" t="n">
        <f aca="false">Supuestos!$B$13</f>
        <v>3000</v>
      </c>
      <c r="I14" s="29" t="n">
        <f aca="false">D14-G14</f>
        <v>4825.90998655635</v>
      </c>
      <c r="J14" s="29" t="n">
        <f aca="false">I14-H14</f>
        <v>1825.90998655635</v>
      </c>
      <c r="K14" s="29" t="n">
        <f aca="false">J14-F14</f>
        <v>325.909986556347</v>
      </c>
    </row>
    <row r="15" customFormat="false" ht="15" hidden="false" customHeight="false" outlineLevel="0" collapsed="false">
      <c r="A15" s="21" t="n">
        <v>11</v>
      </c>
      <c r="B15" s="22" t="n">
        <f aca="false">B14*(1-Supuestos!$B$9)+Supuestos!$B$8</f>
        <v>126.425078425672</v>
      </c>
      <c r="C15" s="23" t="n">
        <f aca="false">Supuestos!$B$8</f>
        <v>10</v>
      </c>
      <c r="D15" s="24" t="n">
        <f aca="false">B15*Supuestos!$B$10</f>
        <v>5689.12852915523</v>
      </c>
      <c r="E15" s="24" t="n">
        <f aca="false">D15*12</f>
        <v>68269.5423498628</v>
      </c>
      <c r="F15" s="24" t="n">
        <f aca="false">C15*Supuestos!$B$11</f>
        <v>1500</v>
      </c>
      <c r="G15" s="24" t="n">
        <f aca="false">B15*Supuestos!$B$12</f>
        <v>632.125392128359</v>
      </c>
      <c r="H15" s="25" t="n">
        <f aca="false">Supuestos!$B$13</f>
        <v>3000</v>
      </c>
      <c r="I15" s="24" t="n">
        <f aca="false">D15-G15</f>
        <v>5057.00313702687</v>
      </c>
      <c r="J15" s="24" t="n">
        <f aca="false">I15-H15</f>
        <v>2057.00313702687</v>
      </c>
      <c r="K15" s="24" t="n">
        <f aca="false">J15-F15</f>
        <v>557.003137026873</v>
      </c>
    </row>
    <row r="16" customFormat="false" ht="15" hidden="false" customHeight="false" outlineLevel="0" collapsed="false">
      <c r="A16" s="26" t="n">
        <v>12</v>
      </c>
      <c r="B16" s="27" t="n">
        <f aca="false">B15*(1-Supuestos!$B$9)+Supuestos!$B$8</f>
        <v>132.000200680773</v>
      </c>
      <c r="C16" s="28" t="n">
        <f aca="false">Supuestos!$B$8</f>
        <v>10</v>
      </c>
      <c r="D16" s="29" t="n">
        <f aca="false">B16*Supuestos!$B$10</f>
        <v>5940.0090306348</v>
      </c>
      <c r="E16" s="29" t="n">
        <f aca="false">D16*12</f>
        <v>71280.1083676176</v>
      </c>
      <c r="F16" s="29" t="n">
        <f aca="false">C16*Supuestos!$B$11</f>
        <v>1500</v>
      </c>
      <c r="G16" s="29" t="n">
        <f aca="false">B16*Supuestos!$B$12</f>
        <v>660.001003403867</v>
      </c>
      <c r="H16" s="30" t="n">
        <f aca="false">Supuestos!$B$13</f>
        <v>3000</v>
      </c>
      <c r="I16" s="29" t="n">
        <f aca="false">D16-G16</f>
        <v>5280.00802723093</v>
      </c>
      <c r="J16" s="29" t="n">
        <f aca="false">I16-H16</f>
        <v>2280.00802723093</v>
      </c>
      <c r="K16" s="29" t="n">
        <f aca="false">J16-F16</f>
        <v>780.008027230933</v>
      </c>
    </row>
    <row r="17" customFormat="false" ht="15" hidden="false" customHeight="false" outlineLevel="0" collapsed="false">
      <c r="A17" s="21" t="n">
        <v>13</v>
      </c>
      <c r="B17" s="22" t="n">
        <f aca="false">B16*(1-Supuestos!$B$9)+Supuestos!$B$8</f>
        <v>137.380193656946</v>
      </c>
      <c r="C17" s="23" t="n">
        <f aca="false">Supuestos!$B$8</f>
        <v>10</v>
      </c>
      <c r="D17" s="24" t="n">
        <f aca="false">B17*Supuestos!$B$10</f>
        <v>6182.10871456258</v>
      </c>
      <c r="E17" s="24" t="n">
        <f aca="false">D17*12</f>
        <v>74185.304574751</v>
      </c>
      <c r="F17" s="24" t="n">
        <f aca="false">C17*Supuestos!$B$11</f>
        <v>1500</v>
      </c>
      <c r="G17" s="24" t="n">
        <f aca="false">B17*Supuestos!$B$12</f>
        <v>686.900968284731</v>
      </c>
      <c r="H17" s="25" t="n">
        <f aca="false">Supuestos!$B$13</f>
        <v>3000</v>
      </c>
      <c r="I17" s="24" t="n">
        <f aca="false">D17-G17</f>
        <v>5495.20774627785</v>
      </c>
      <c r="J17" s="24" t="n">
        <f aca="false">I17-H17</f>
        <v>2495.20774627785</v>
      </c>
      <c r="K17" s="24" t="n">
        <f aca="false">J17-F17</f>
        <v>995.207746277851</v>
      </c>
    </row>
    <row r="18" customFormat="false" ht="15" hidden="false" customHeight="false" outlineLevel="0" collapsed="false">
      <c r="A18" s="26" t="n">
        <v>14</v>
      </c>
      <c r="B18" s="27" t="n">
        <f aca="false">B17*(1-Supuestos!$B$9)+Supuestos!$B$8</f>
        <v>142.571886878953</v>
      </c>
      <c r="C18" s="28" t="n">
        <f aca="false">Supuestos!$B$8</f>
        <v>10</v>
      </c>
      <c r="D18" s="29" t="n">
        <f aca="false">B18*Supuestos!$B$10</f>
        <v>6415.73490955289</v>
      </c>
      <c r="E18" s="29" t="n">
        <f aca="false">D18*12</f>
        <v>76988.8189146347</v>
      </c>
      <c r="F18" s="29" t="n">
        <f aca="false">C18*Supuestos!$B$11</f>
        <v>1500</v>
      </c>
      <c r="G18" s="29" t="n">
        <f aca="false">B18*Supuestos!$B$12</f>
        <v>712.859434394766</v>
      </c>
      <c r="H18" s="30" t="n">
        <f aca="false">Supuestos!$B$13</f>
        <v>3000</v>
      </c>
      <c r="I18" s="29" t="n">
        <f aca="false">D18-G18</f>
        <v>5702.87547515813</v>
      </c>
      <c r="J18" s="29" t="n">
        <f aca="false">I18-H18</f>
        <v>2702.87547515813</v>
      </c>
      <c r="K18" s="29" t="n">
        <f aca="false">J18-F18</f>
        <v>1202.87547515813</v>
      </c>
    </row>
    <row r="19" customFormat="false" ht="15" hidden="false" customHeight="false" outlineLevel="0" collapsed="false">
      <c r="A19" s="21" t="n">
        <v>15</v>
      </c>
      <c r="B19" s="22" t="n">
        <f aca="false">B18*(1-Supuestos!$B$9)+Supuestos!$B$8</f>
        <v>147.58187083819</v>
      </c>
      <c r="C19" s="23" t="n">
        <f aca="false">Supuestos!$B$8</f>
        <v>10</v>
      </c>
      <c r="D19" s="24" t="n">
        <f aca="false">B19*Supuestos!$B$10</f>
        <v>6641.18418771854</v>
      </c>
      <c r="E19" s="24" t="n">
        <f aca="false">D19*12</f>
        <v>79694.2102526225</v>
      </c>
      <c r="F19" s="24" t="n">
        <f aca="false">C19*Supuestos!$B$11</f>
        <v>1500</v>
      </c>
      <c r="G19" s="24" t="n">
        <f aca="false">B19*Supuestos!$B$12</f>
        <v>737.909354190949</v>
      </c>
      <c r="H19" s="25" t="n">
        <f aca="false">Supuestos!$B$13</f>
        <v>3000</v>
      </c>
      <c r="I19" s="24" t="n">
        <f aca="false">D19-G19</f>
        <v>5903.27483352759</v>
      </c>
      <c r="J19" s="24" t="n">
        <f aca="false">I19-H19</f>
        <v>2903.27483352759</v>
      </c>
      <c r="K19" s="24" t="n">
        <f aca="false">J19-F19</f>
        <v>1403.27483352759</v>
      </c>
    </row>
    <row r="20" customFormat="false" ht="15" hidden="false" customHeight="false" outlineLevel="0" collapsed="false">
      <c r="A20" s="26" t="n">
        <v>16</v>
      </c>
      <c r="B20" s="27" t="n">
        <f aca="false">B19*(1-Supuestos!$B$9)+Supuestos!$B$8</f>
        <v>152.416505358853</v>
      </c>
      <c r="C20" s="28" t="n">
        <f aca="false">Supuestos!$B$8</f>
        <v>10</v>
      </c>
      <c r="D20" s="29" t="n">
        <f aca="false">B20*Supuestos!$B$10</f>
        <v>6858.74274114839</v>
      </c>
      <c r="E20" s="29" t="n">
        <f aca="false">D20*12</f>
        <v>82304.9128937807</v>
      </c>
      <c r="F20" s="29" t="n">
        <f aca="false">C20*Supuestos!$B$11</f>
        <v>1500</v>
      </c>
      <c r="G20" s="29" t="n">
        <f aca="false">B20*Supuestos!$B$12</f>
        <v>762.082526794266</v>
      </c>
      <c r="H20" s="30" t="n">
        <f aca="false">Supuestos!$B$13</f>
        <v>3000</v>
      </c>
      <c r="I20" s="29" t="n">
        <f aca="false">D20-G20</f>
        <v>6096.66021435413</v>
      </c>
      <c r="J20" s="29" t="n">
        <f aca="false">I20-H20</f>
        <v>3096.66021435413</v>
      </c>
      <c r="K20" s="29" t="n">
        <f aca="false">J20-F20</f>
        <v>1596.66021435413</v>
      </c>
    </row>
    <row r="21" customFormat="false" ht="15" hidden="false" customHeight="false" outlineLevel="0" collapsed="false">
      <c r="A21" s="21" t="n">
        <v>17</v>
      </c>
      <c r="B21" s="22" t="n">
        <f aca="false">B20*(1-Supuestos!$B$9)+Supuestos!$B$8</f>
        <v>157.081927671293</v>
      </c>
      <c r="C21" s="23" t="n">
        <f aca="false">Supuestos!$B$8</f>
        <v>10</v>
      </c>
      <c r="D21" s="24" t="n">
        <f aca="false">B21*Supuestos!$B$10</f>
        <v>7068.6867452082</v>
      </c>
      <c r="E21" s="24" t="n">
        <f aca="false">D21*12</f>
        <v>84824.2409424984</v>
      </c>
      <c r="F21" s="24" t="n">
        <f aca="false">C21*Supuestos!$B$11</f>
        <v>1500</v>
      </c>
      <c r="G21" s="24" t="n">
        <f aca="false">B21*Supuestos!$B$12</f>
        <v>785.409638356466</v>
      </c>
      <c r="H21" s="25" t="n">
        <f aca="false">Supuestos!$B$13</f>
        <v>3000</v>
      </c>
      <c r="I21" s="24" t="n">
        <f aca="false">D21-G21</f>
        <v>6283.27710685173</v>
      </c>
      <c r="J21" s="24" t="n">
        <f aca="false">I21-H21</f>
        <v>3283.27710685173</v>
      </c>
      <c r="K21" s="24" t="n">
        <f aca="false">J21-F21</f>
        <v>1783.27710685173</v>
      </c>
    </row>
    <row r="22" customFormat="false" ht="15" hidden="false" customHeight="false" outlineLevel="0" collapsed="false">
      <c r="A22" s="26" t="n">
        <v>18</v>
      </c>
      <c r="B22" s="27" t="n">
        <f aca="false">B21*(1-Supuestos!$B$9)+Supuestos!$B$8</f>
        <v>161.584060202798</v>
      </c>
      <c r="C22" s="28" t="n">
        <f aca="false">Supuestos!$B$8</f>
        <v>10</v>
      </c>
      <c r="D22" s="29" t="n">
        <f aca="false">B22*Supuestos!$B$10</f>
        <v>7271.28270912591</v>
      </c>
      <c r="E22" s="29" t="n">
        <f aca="false">D22*12</f>
        <v>87255.3925095109</v>
      </c>
      <c r="F22" s="29" t="n">
        <f aca="false">C22*Supuestos!$B$11</f>
        <v>1500</v>
      </c>
      <c r="G22" s="29" t="n">
        <f aca="false">B22*Supuestos!$B$12</f>
        <v>807.92030101399</v>
      </c>
      <c r="H22" s="30" t="n">
        <f aca="false">Supuestos!$B$13</f>
        <v>3000</v>
      </c>
      <c r="I22" s="29" t="n">
        <f aca="false">D22-G22</f>
        <v>6463.36240811192</v>
      </c>
      <c r="J22" s="29" t="n">
        <f aca="false">I22-H22</f>
        <v>3463.36240811192</v>
      </c>
      <c r="K22" s="29" t="n">
        <f aca="false">J22-F22</f>
        <v>1963.36240811192</v>
      </c>
    </row>
    <row r="23" customFormat="false" ht="15" hidden="false" customHeight="false" outlineLevel="0" collapsed="false">
      <c r="A23" s="21" t="n">
        <v>19</v>
      </c>
      <c r="B23" s="22" t="n">
        <f aca="false">B22*(1-Supuestos!$B$9)+Supuestos!$B$8</f>
        <v>165.9286180957</v>
      </c>
      <c r="C23" s="23" t="n">
        <f aca="false">Supuestos!$B$8</f>
        <v>10</v>
      </c>
      <c r="D23" s="24" t="n">
        <f aca="false">B23*Supuestos!$B$10</f>
        <v>7466.7878143065</v>
      </c>
      <c r="E23" s="24" t="n">
        <f aca="false">D23*12</f>
        <v>89601.4537716781</v>
      </c>
      <c r="F23" s="24" t="n">
        <f aca="false">C23*Supuestos!$B$11</f>
        <v>1500</v>
      </c>
      <c r="G23" s="24" t="n">
        <f aca="false">B23*Supuestos!$B$12</f>
        <v>829.6430904785</v>
      </c>
      <c r="H23" s="25" t="n">
        <f aca="false">Supuestos!$B$13</f>
        <v>3000</v>
      </c>
      <c r="I23" s="24" t="n">
        <f aca="false">D23-G23</f>
        <v>6637.144723828</v>
      </c>
      <c r="J23" s="24" t="n">
        <f aca="false">I23-H23</f>
        <v>3637.144723828</v>
      </c>
      <c r="K23" s="24" t="n">
        <f aca="false">J23-F23</f>
        <v>2137.144723828</v>
      </c>
    </row>
    <row r="24" customFormat="false" ht="15" hidden="false" customHeight="false" outlineLevel="0" collapsed="false">
      <c r="A24" s="26" t="n">
        <v>20</v>
      </c>
      <c r="B24" s="27" t="n">
        <f aca="false">B23*(1-Supuestos!$B$9)+Supuestos!$B$8</f>
        <v>170.121116462351</v>
      </c>
      <c r="C24" s="28" t="n">
        <f aca="false">Supuestos!$B$8</f>
        <v>10</v>
      </c>
      <c r="D24" s="29" t="n">
        <f aca="false">B24*Supuestos!$B$10</f>
        <v>7655.45024080578</v>
      </c>
      <c r="E24" s="29" t="n">
        <f aca="false">D24*12</f>
        <v>91865.4028896693</v>
      </c>
      <c r="F24" s="29" t="n">
        <f aca="false">C24*Supuestos!$B$11</f>
        <v>1500</v>
      </c>
      <c r="G24" s="29" t="n">
        <f aca="false">B24*Supuestos!$B$12</f>
        <v>850.605582311753</v>
      </c>
      <c r="H24" s="30" t="n">
        <f aca="false">Supuestos!$B$13</f>
        <v>3000</v>
      </c>
      <c r="I24" s="29" t="n">
        <f aca="false">D24-G24</f>
        <v>6804.84465849402</v>
      </c>
      <c r="J24" s="29" t="n">
        <f aca="false">I24-H24</f>
        <v>3804.84465849402</v>
      </c>
      <c r="K24" s="29" t="n">
        <f aca="false">J24-F24</f>
        <v>2304.84465849402</v>
      </c>
    </row>
    <row r="25" customFormat="false" ht="15" hidden="false" customHeight="false" outlineLevel="0" collapsed="false">
      <c r="A25" s="21" t="n">
        <v>21</v>
      </c>
      <c r="B25" s="22" t="n">
        <f aca="false">B24*(1-Supuestos!$B$9)+Supuestos!$B$8</f>
        <v>174.166877386168</v>
      </c>
      <c r="C25" s="23" t="n">
        <f aca="false">Supuestos!$B$8</f>
        <v>10</v>
      </c>
      <c r="D25" s="24" t="n">
        <f aca="false">B25*Supuestos!$B$10</f>
        <v>7837.50948237757</v>
      </c>
      <c r="E25" s="24" t="n">
        <f aca="false">D25*12</f>
        <v>94050.1137885309</v>
      </c>
      <c r="F25" s="24" t="n">
        <f aca="false">C25*Supuestos!$B$11</f>
        <v>1500</v>
      </c>
      <c r="G25" s="24" t="n">
        <f aca="false">B25*Supuestos!$B$12</f>
        <v>870.834386930841</v>
      </c>
      <c r="H25" s="25" t="n">
        <f aca="false">Supuestos!$B$13</f>
        <v>3000</v>
      </c>
      <c r="I25" s="24" t="n">
        <f aca="false">D25-G25</f>
        <v>6966.67509544673</v>
      </c>
      <c r="J25" s="24" t="n">
        <f aca="false">I25-H25</f>
        <v>3966.67509544673</v>
      </c>
      <c r="K25" s="24" t="n">
        <f aca="false">J25-F25</f>
        <v>2466.67509544673</v>
      </c>
    </row>
    <row r="26" customFormat="false" ht="15" hidden="false" customHeight="false" outlineLevel="0" collapsed="false">
      <c r="A26" s="26" t="n">
        <v>22</v>
      </c>
      <c r="B26" s="27" t="n">
        <f aca="false">B25*(1-Supuestos!$B$9)+Supuestos!$B$8</f>
        <v>178.071036677652</v>
      </c>
      <c r="C26" s="28" t="n">
        <f aca="false">Supuestos!$B$8</f>
        <v>10</v>
      </c>
      <c r="D26" s="29" t="n">
        <f aca="false">B26*Supuestos!$B$10</f>
        <v>8013.19665049436</v>
      </c>
      <c r="E26" s="29" t="n">
        <f aca="false">D26*12</f>
        <v>96158.3598059323</v>
      </c>
      <c r="F26" s="29" t="n">
        <f aca="false">C26*Supuestos!$B$11</f>
        <v>1500</v>
      </c>
      <c r="G26" s="29" t="n">
        <f aca="false">B26*Supuestos!$B$12</f>
        <v>890.355183388262</v>
      </c>
      <c r="H26" s="30" t="n">
        <f aca="false">Supuestos!$B$13</f>
        <v>3000</v>
      </c>
      <c r="I26" s="29" t="n">
        <f aca="false">D26-G26</f>
        <v>7122.8414671061</v>
      </c>
      <c r="J26" s="29" t="n">
        <f aca="false">I26-H26</f>
        <v>4122.8414671061</v>
      </c>
      <c r="K26" s="29" t="n">
        <f aca="false">J26-F26</f>
        <v>2622.8414671061</v>
      </c>
    </row>
    <row r="27" customFormat="false" ht="15" hidden="false" customHeight="false" outlineLevel="0" collapsed="false">
      <c r="A27" s="21" t="n">
        <v>23</v>
      </c>
      <c r="B27" s="22" t="n">
        <f aca="false">B26*(1-Supuestos!$B$9)+Supuestos!$B$8</f>
        <v>181.838550393935</v>
      </c>
      <c r="C27" s="23" t="n">
        <f aca="false">Supuestos!$B$8</f>
        <v>10</v>
      </c>
      <c r="D27" s="24" t="n">
        <f aca="false">B27*Supuestos!$B$10</f>
        <v>8182.73476772705</v>
      </c>
      <c r="E27" s="24" t="n">
        <f aca="false">D27*12</f>
        <v>98192.8172127247</v>
      </c>
      <c r="F27" s="24" t="n">
        <f aca="false">C27*Supuestos!$B$11</f>
        <v>1500</v>
      </c>
      <c r="G27" s="24" t="n">
        <f aca="false">B27*Supuestos!$B$12</f>
        <v>909.192751969673</v>
      </c>
      <c r="H27" s="25" t="n">
        <f aca="false">Supuestos!$B$13</f>
        <v>3000</v>
      </c>
      <c r="I27" s="24" t="n">
        <f aca="false">D27-G27</f>
        <v>7273.54201575738</v>
      </c>
      <c r="J27" s="24" t="n">
        <f aca="false">I27-H27</f>
        <v>4273.54201575738</v>
      </c>
      <c r="K27" s="24" t="n">
        <f aca="false">J27-F27</f>
        <v>2773.54201575738</v>
      </c>
    </row>
    <row r="28" customFormat="false" ht="15" hidden="false" customHeight="false" outlineLevel="0" collapsed="false">
      <c r="A28" s="26" t="n">
        <v>24</v>
      </c>
      <c r="B28" s="27" t="n">
        <f aca="false">B27*(1-Supuestos!$B$9)+Supuestos!$B$8</f>
        <v>185.474201130147</v>
      </c>
      <c r="C28" s="28" t="n">
        <f aca="false">Supuestos!$B$8</f>
        <v>10</v>
      </c>
      <c r="D28" s="29" t="n">
        <f aca="false">B28*Supuestos!$B$10</f>
        <v>8346.33905085661</v>
      </c>
      <c r="E28" s="29" t="n">
        <f aca="false">D28*12</f>
        <v>100156.068610279</v>
      </c>
      <c r="F28" s="29" t="n">
        <f aca="false">C28*Supuestos!$B$11</f>
        <v>1500</v>
      </c>
      <c r="G28" s="29" t="n">
        <f aca="false">B28*Supuestos!$B$12</f>
        <v>927.371005650734</v>
      </c>
      <c r="H28" s="30" t="n">
        <f aca="false">Supuestos!$B$13</f>
        <v>3000</v>
      </c>
      <c r="I28" s="29" t="n">
        <f aca="false">D28-G28</f>
        <v>7418.96804520587</v>
      </c>
      <c r="J28" s="29" t="n">
        <f aca="false">I28-H28</f>
        <v>4418.96804520587</v>
      </c>
      <c r="K28" s="29" t="n">
        <f aca="false">J28-F28</f>
        <v>2918.96804520587</v>
      </c>
    </row>
    <row r="29" customFormat="false" ht="15" hidden="false" customHeight="false" outlineLevel="0" collapsed="false">
      <c r="A29" s="21" t="n">
        <v>25</v>
      </c>
      <c r="B29" s="22" t="n">
        <f aca="false">B28*(1-Supuestos!$B$9)+Supuestos!$B$8</f>
        <v>188.982604090592</v>
      </c>
      <c r="C29" s="23" t="n">
        <f aca="false">Supuestos!$B$8</f>
        <v>10</v>
      </c>
      <c r="D29" s="24" t="n">
        <f aca="false">B29*Supuestos!$B$10</f>
        <v>8504.21718407663</v>
      </c>
      <c r="E29" s="24" t="n">
        <f aca="false">D29*12</f>
        <v>102050.60620892</v>
      </c>
      <c r="F29" s="24" t="n">
        <f aca="false">C29*Supuestos!$B$11</f>
        <v>1500</v>
      </c>
      <c r="G29" s="24" t="n">
        <f aca="false">B29*Supuestos!$B$12</f>
        <v>944.913020452959</v>
      </c>
      <c r="H29" s="25" t="n">
        <f aca="false">Supuestos!$B$13</f>
        <v>3000</v>
      </c>
      <c r="I29" s="24" t="n">
        <f aca="false">D29-G29</f>
        <v>7559.30416362367</v>
      </c>
      <c r="J29" s="24" t="n">
        <f aca="false">I29-H29</f>
        <v>4559.30416362367</v>
      </c>
      <c r="K29" s="24" t="n">
        <f aca="false">J29-F29</f>
        <v>3059.30416362367</v>
      </c>
    </row>
    <row r="30" customFormat="false" ht="15" hidden="false" customHeight="false" outlineLevel="0" collapsed="false">
      <c r="A30" s="26" t="n">
        <v>26</v>
      </c>
      <c r="B30" s="27" t="n">
        <f aca="false">B29*(1-Supuestos!$B$9)+Supuestos!$B$8</f>
        <v>192.368212947421</v>
      </c>
      <c r="C30" s="28" t="n">
        <f aca="false">Supuestos!$B$8</f>
        <v>10</v>
      </c>
      <c r="D30" s="29" t="n">
        <f aca="false">B30*Supuestos!$B$10</f>
        <v>8656.56958263395</v>
      </c>
      <c r="E30" s="29" t="n">
        <f aca="false">D30*12</f>
        <v>103878.834991607</v>
      </c>
      <c r="F30" s="29" t="n">
        <f aca="false">C30*Supuestos!$B$11</f>
        <v>1500</v>
      </c>
      <c r="G30" s="29" t="n">
        <f aca="false">B30*Supuestos!$B$12</f>
        <v>961.841064737105</v>
      </c>
      <c r="H30" s="30" t="n">
        <f aca="false">Supuestos!$B$13</f>
        <v>3000</v>
      </c>
      <c r="I30" s="29" t="n">
        <f aca="false">D30-G30</f>
        <v>7694.72851789684</v>
      </c>
      <c r="J30" s="29" t="n">
        <f aca="false">I30-H30</f>
        <v>4694.72851789684</v>
      </c>
      <c r="K30" s="29" t="n">
        <f aca="false">J30-F30</f>
        <v>3194.72851789684</v>
      </c>
    </row>
    <row r="31" customFormat="false" ht="15" hidden="false" customHeight="false" outlineLevel="0" collapsed="false">
      <c r="A31" s="21" t="n">
        <v>27</v>
      </c>
      <c r="B31" s="22" t="n">
        <f aca="false">B30*(1-Supuestos!$B$9)+Supuestos!$B$8</f>
        <v>195.635325494261</v>
      </c>
      <c r="C31" s="23" t="n">
        <f aca="false">Supuestos!$B$8</f>
        <v>10</v>
      </c>
      <c r="D31" s="24" t="n">
        <f aca="false">B31*Supuestos!$B$10</f>
        <v>8803.58964724176</v>
      </c>
      <c r="E31" s="24" t="n">
        <f aca="false">D31*12</f>
        <v>105643.075766901</v>
      </c>
      <c r="F31" s="24" t="n">
        <f aca="false">C31*Supuestos!$B$11</f>
        <v>1500</v>
      </c>
      <c r="G31" s="24" t="n">
        <f aca="false">B31*Supuestos!$B$12</f>
        <v>978.176627471306</v>
      </c>
      <c r="H31" s="25" t="n">
        <f aca="false">Supuestos!$B$13</f>
        <v>3000</v>
      </c>
      <c r="I31" s="24" t="n">
        <f aca="false">D31-G31</f>
        <v>7825.41301977045</v>
      </c>
      <c r="J31" s="24" t="n">
        <f aca="false">I31-H31</f>
        <v>4825.41301977045</v>
      </c>
      <c r="K31" s="24" t="n">
        <f aca="false">J31-F31</f>
        <v>3325.41301977045</v>
      </c>
    </row>
    <row r="32" customFormat="false" ht="15" hidden="false" customHeight="false" outlineLevel="0" collapsed="false">
      <c r="A32" s="26" t="n">
        <v>28</v>
      </c>
      <c r="B32" s="27" t="n">
        <f aca="false">B31*(1-Supuestos!$B$9)+Supuestos!$B$8</f>
        <v>198.788089101962</v>
      </c>
      <c r="C32" s="28" t="n">
        <f aca="false">Supuestos!$B$8</f>
        <v>10</v>
      </c>
      <c r="D32" s="29" t="n">
        <f aca="false">B32*Supuestos!$B$10</f>
        <v>8945.4640095883</v>
      </c>
      <c r="E32" s="29" t="n">
        <f aca="false">D32*12</f>
        <v>107345.56811506</v>
      </c>
      <c r="F32" s="29" t="n">
        <f aca="false">C32*Supuestos!$B$11</f>
        <v>1500</v>
      </c>
      <c r="G32" s="29" t="n">
        <f aca="false">B32*Supuestos!$B$12</f>
        <v>993.940445509811</v>
      </c>
      <c r="H32" s="30" t="n">
        <f aca="false">Supuestos!$B$13</f>
        <v>3000</v>
      </c>
      <c r="I32" s="29" t="n">
        <f aca="false">D32-G32</f>
        <v>7951.52356407849</v>
      </c>
      <c r="J32" s="29" t="n">
        <f aca="false">I32-H32</f>
        <v>4951.52356407849</v>
      </c>
      <c r="K32" s="29" t="n">
        <f aca="false">J32-F32</f>
        <v>3451.52356407849</v>
      </c>
    </row>
    <row r="33" customFormat="false" ht="15" hidden="false" customHeight="false" outlineLevel="0" collapsed="false">
      <c r="A33" s="21" t="n">
        <v>29</v>
      </c>
      <c r="B33" s="22" t="n">
        <f aca="false">B32*(1-Supuestos!$B$9)+Supuestos!$B$8</f>
        <v>201.830505983393</v>
      </c>
      <c r="C33" s="23" t="n">
        <f aca="false">Supuestos!$B$8</f>
        <v>10</v>
      </c>
      <c r="D33" s="24" t="n">
        <f aca="false">B33*Supuestos!$B$10</f>
        <v>9082.3727692527</v>
      </c>
      <c r="E33" s="24" t="n">
        <f aca="false">D33*12</f>
        <v>108988.473231032</v>
      </c>
      <c r="F33" s="24" t="n">
        <f aca="false">C33*Supuestos!$B$11</f>
        <v>1500</v>
      </c>
      <c r="G33" s="24" t="n">
        <f aca="false">B33*Supuestos!$B$12</f>
        <v>1009.15252991697</v>
      </c>
      <c r="H33" s="25" t="n">
        <f aca="false">Supuestos!$B$13</f>
        <v>3000</v>
      </c>
      <c r="I33" s="24" t="n">
        <f aca="false">D33-G33</f>
        <v>8073.22023933574</v>
      </c>
      <c r="J33" s="24" t="n">
        <f aca="false">I33-H33</f>
        <v>5073.22023933574</v>
      </c>
      <c r="K33" s="24" t="n">
        <f aca="false">J33-F33</f>
        <v>3573.22023933574</v>
      </c>
    </row>
    <row r="34" customFormat="false" ht="15" hidden="false" customHeight="false" outlineLevel="0" collapsed="false">
      <c r="A34" s="26" t="n">
        <v>30</v>
      </c>
      <c r="B34" s="27" t="n">
        <f aca="false">B33*(1-Supuestos!$B$9)+Supuestos!$B$8</f>
        <v>204.766438273975</v>
      </c>
      <c r="C34" s="28" t="n">
        <f aca="false">Supuestos!$B$8</f>
        <v>10</v>
      </c>
      <c r="D34" s="29" t="n">
        <f aca="false">B34*Supuestos!$B$10</f>
        <v>9214.48972232886</v>
      </c>
      <c r="E34" s="29" t="n">
        <f aca="false">D34*12</f>
        <v>110573.876667946</v>
      </c>
      <c r="F34" s="29" t="n">
        <f aca="false">C34*Supuestos!$B$11</f>
        <v>1500</v>
      </c>
      <c r="G34" s="29" t="n">
        <f aca="false">B34*Supuestos!$B$12</f>
        <v>1023.83219136987</v>
      </c>
      <c r="H34" s="30" t="n">
        <f aca="false">Supuestos!$B$13</f>
        <v>3000</v>
      </c>
      <c r="I34" s="29" t="n">
        <f aca="false">D34-G34</f>
        <v>8190.65753095899</v>
      </c>
      <c r="J34" s="29" t="n">
        <f aca="false">I34-H34</f>
        <v>5190.65753095899</v>
      </c>
      <c r="K34" s="29" t="n">
        <f aca="false">J34-F34</f>
        <v>3690.65753095899</v>
      </c>
    </row>
    <row r="35" customFormat="false" ht="15" hidden="false" customHeight="false" outlineLevel="0" collapsed="false">
      <c r="A35" s="21" t="n">
        <v>31</v>
      </c>
      <c r="B35" s="22" t="n">
        <f aca="false">B34*(1-Supuestos!$B$9)+Supuestos!$B$8</f>
        <v>207.599612934386</v>
      </c>
      <c r="C35" s="23" t="n">
        <f aca="false">Supuestos!$B$8</f>
        <v>10</v>
      </c>
      <c r="D35" s="24" t="n">
        <f aca="false">B35*Supuestos!$B$10</f>
        <v>9341.98258204735</v>
      </c>
      <c r="E35" s="24" t="n">
        <f aca="false">D35*12</f>
        <v>112103.790984568</v>
      </c>
      <c r="F35" s="24" t="n">
        <f aca="false">C35*Supuestos!$B$11</f>
        <v>1500</v>
      </c>
      <c r="G35" s="24" t="n">
        <f aca="false">B35*Supuestos!$B$12</f>
        <v>1037.99806467193</v>
      </c>
      <c r="H35" s="25" t="n">
        <f aca="false">Supuestos!$B$13</f>
        <v>3000</v>
      </c>
      <c r="I35" s="24" t="n">
        <f aca="false">D35-G35</f>
        <v>8303.98451737542</v>
      </c>
      <c r="J35" s="24" t="n">
        <f aca="false">I35-H35</f>
        <v>5303.98451737542</v>
      </c>
      <c r="K35" s="24" t="n">
        <f aca="false">J35-F35</f>
        <v>3803.98451737542</v>
      </c>
    </row>
    <row r="36" customFormat="false" ht="15" hidden="false" customHeight="false" outlineLevel="0" collapsed="false">
      <c r="A36" s="26" t="n">
        <v>32</v>
      </c>
      <c r="B36" s="27" t="n">
        <f aca="false">B35*(1-Supuestos!$B$9)+Supuestos!$B$8</f>
        <v>210.333626481682</v>
      </c>
      <c r="C36" s="28" t="n">
        <f aca="false">Supuestos!$B$8</f>
        <v>10</v>
      </c>
      <c r="D36" s="29" t="n">
        <f aca="false">B36*Supuestos!$B$10</f>
        <v>9465.01319167569</v>
      </c>
      <c r="E36" s="29" t="n">
        <f aca="false">D36*12</f>
        <v>113580.158300108</v>
      </c>
      <c r="F36" s="29" t="n">
        <f aca="false">C36*Supuestos!$B$11</f>
        <v>1500</v>
      </c>
      <c r="G36" s="29" t="n">
        <f aca="false">B36*Supuestos!$B$12</f>
        <v>1051.66813240841</v>
      </c>
      <c r="H36" s="30" t="n">
        <f aca="false">Supuestos!$B$13</f>
        <v>3000</v>
      </c>
      <c r="I36" s="29" t="n">
        <f aca="false">D36-G36</f>
        <v>8413.34505926728</v>
      </c>
      <c r="J36" s="29" t="n">
        <f aca="false">I36-H36</f>
        <v>5413.34505926728</v>
      </c>
      <c r="K36" s="29" t="n">
        <f aca="false">J36-F36</f>
        <v>3913.34505926728</v>
      </c>
    </row>
    <row r="37" customFormat="false" ht="15" hidden="false" customHeight="false" outlineLevel="0" collapsed="false">
      <c r="A37" s="21" t="n">
        <v>33</v>
      </c>
      <c r="B37" s="22" t="n">
        <f aca="false">B36*(1-Supuestos!$B$9)+Supuestos!$B$8</f>
        <v>212.971949554823</v>
      </c>
      <c r="C37" s="23" t="n">
        <f aca="false">Supuestos!$B$8</f>
        <v>10</v>
      </c>
      <c r="D37" s="24" t="n">
        <f aca="false">B37*Supuestos!$B$10</f>
        <v>9583.73772996704</v>
      </c>
      <c r="E37" s="24" t="n">
        <f aca="false">D37*12</f>
        <v>115004.852759605</v>
      </c>
      <c r="F37" s="24" t="n">
        <f aca="false">C37*Supuestos!$B$11</f>
        <v>1500</v>
      </c>
      <c r="G37" s="24" t="n">
        <f aca="false">B37*Supuestos!$B$12</f>
        <v>1064.85974777412</v>
      </c>
      <c r="H37" s="25" t="n">
        <f aca="false">Supuestos!$B$13</f>
        <v>3000</v>
      </c>
      <c r="I37" s="24" t="n">
        <f aca="false">D37-G37</f>
        <v>8518.87798219293</v>
      </c>
      <c r="J37" s="24" t="n">
        <f aca="false">I37-H37</f>
        <v>5518.87798219293</v>
      </c>
      <c r="K37" s="24" t="n">
        <f aca="false">J37-F37</f>
        <v>4018.87798219293</v>
      </c>
    </row>
    <row r="38" customFormat="false" ht="15" hidden="false" customHeight="false" outlineLevel="0" collapsed="false">
      <c r="A38" s="26" t="n">
        <v>34</v>
      </c>
      <c r="B38" s="27" t="n">
        <f aca="false">B37*(1-Supuestos!$B$9)+Supuestos!$B$8</f>
        <v>215.517931320404</v>
      </c>
      <c r="C38" s="28" t="n">
        <f aca="false">Supuestos!$B$8</f>
        <v>10</v>
      </c>
      <c r="D38" s="29" t="n">
        <f aca="false">B38*Supuestos!$B$10</f>
        <v>9698.3069094182</v>
      </c>
      <c r="E38" s="29" t="n">
        <f aca="false">D38*12</f>
        <v>116379.682913018</v>
      </c>
      <c r="F38" s="29" t="n">
        <f aca="false">C38*Supuestos!$B$11</f>
        <v>1500</v>
      </c>
      <c r="G38" s="29" t="n">
        <f aca="false">B38*Supuestos!$B$12</f>
        <v>1077.58965660202</v>
      </c>
      <c r="H38" s="30" t="n">
        <f aca="false">Supuestos!$B$13</f>
        <v>3000</v>
      </c>
      <c r="I38" s="29" t="n">
        <f aca="false">D38-G38</f>
        <v>8620.71725281617</v>
      </c>
      <c r="J38" s="29" t="n">
        <f aca="false">I38-H38</f>
        <v>5620.71725281617</v>
      </c>
      <c r="K38" s="29" t="n">
        <f aca="false">J38-F38</f>
        <v>4120.71725281617</v>
      </c>
    </row>
    <row r="39" customFormat="false" ht="15" hidden="false" customHeight="false" outlineLevel="0" collapsed="false">
      <c r="A39" s="21" t="n">
        <v>35</v>
      </c>
      <c r="B39" s="22" t="n">
        <f aca="false">B38*(1-Supuestos!$B$9)+Supuestos!$B$8</f>
        <v>217.97480372419</v>
      </c>
      <c r="C39" s="23" t="n">
        <f aca="false">Supuestos!$B$8</f>
        <v>10</v>
      </c>
      <c r="D39" s="24" t="n">
        <f aca="false">B39*Supuestos!$B$10</f>
        <v>9808.86616758856</v>
      </c>
      <c r="E39" s="24" t="n">
        <f aca="false">D39*12</f>
        <v>117706.394011063</v>
      </c>
      <c r="F39" s="24" t="n">
        <f aca="false">C39*Supuestos!$B$11</f>
        <v>1500</v>
      </c>
      <c r="G39" s="24" t="n">
        <f aca="false">B39*Supuestos!$B$12</f>
        <v>1089.87401862095</v>
      </c>
      <c r="H39" s="25" t="n">
        <f aca="false">Supuestos!$B$13</f>
        <v>3000</v>
      </c>
      <c r="I39" s="24" t="n">
        <f aca="false">D39-G39</f>
        <v>8718.99214896761</v>
      </c>
      <c r="J39" s="24" t="n">
        <f aca="false">I39-H39</f>
        <v>5718.99214896761</v>
      </c>
      <c r="K39" s="24" t="n">
        <f aca="false">J39-F39</f>
        <v>4218.99214896761</v>
      </c>
    </row>
    <row r="40" customFormat="false" ht="15" hidden="false" customHeight="false" outlineLevel="0" collapsed="false">
      <c r="A40" s="26" t="n">
        <v>36</v>
      </c>
      <c r="B40" s="27" t="n">
        <f aca="false">B39*(1-Supuestos!$B$9)+Supuestos!$B$8</f>
        <v>220.345685593844</v>
      </c>
      <c r="C40" s="28" t="n">
        <f aca="false">Supuestos!$B$8</f>
        <v>10</v>
      </c>
      <c r="D40" s="29" t="n">
        <f aca="false">B40*Supuestos!$B$10</f>
        <v>9915.55585172296</v>
      </c>
      <c r="E40" s="29" t="n">
        <f aca="false">D40*12</f>
        <v>118986.670220676</v>
      </c>
      <c r="F40" s="29" t="n">
        <f aca="false">C40*Supuestos!$B$11</f>
        <v>1500</v>
      </c>
      <c r="G40" s="29" t="n">
        <f aca="false">B40*Supuestos!$B$12</f>
        <v>1101.72842796922</v>
      </c>
      <c r="H40" s="30" t="n">
        <f aca="false">Supuestos!$B$13</f>
        <v>3000</v>
      </c>
      <c r="I40" s="29" t="n">
        <f aca="false">D40-G40</f>
        <v>8813.82742375374</v>
      </c>
      <c r="J40" s="29" t="n">
        <f aca="false">I40-H40</f>
        <v>5813.82742375374</v>
      </c>
      <c r="K40" s="29" t="n">
        <f aca="false">J40-F40</f>
        <v>4313.82742375374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5"/>
    <col collapsed="false" customWidth="true" hidden="false" outlineLevel="0" max="4" min="3" style="1" width="13"/>
    <col collapsed="false" customWidth="true" hidden="false" outlineLevel="0" max="5" min="5" style="1" width="16"/>
    <col collapsed="false" customWidth="true" hidden="false" outlineLevel="0" max="6" min="6" style="1" width="13"/>
    <col collapsed="false" customWidth="true" hidden="false" outlineLevel="0" max="7" min="7" style="1" width="14"/>
    <col collapsed="false" customWidth="true" hidden="false" outlineLevel="0" max="8" min="8" style="1" width="13"/>
    <col collapsed="false" customWidth="true" hidden="false" outlineLevel="0" max="9" min="9" style="1" width="15"/>
    <col collapsed="false" customWidth="true" hidden="false" outlineLevel="0" max="10" min="10" style="1" width="17"/>
    <col collapsed="false" customWidth="true" hidden="false" outlineLevel="0" max="11" min="11" style="1" width="15"/>
  </cols>
  <sheetData>
    <row r="1" customFormat="false" ht="19.7" hidden="false" customHeight="false" outlineLevel="0" collapsed="false">
      <c r="A1" s="2" t="s">
        <v>57</v>
      </c>
    </row>
    <row r="2" customFormat="false" ht="15" hidden="false" customHeight="false" outlineLevel="0" collapsed="false">
      <c r="A2" s="11" t="s">
        <v>44</v>
      </c>
    </row>
    <row r="3" customFormat="false" ht="15" hidden="false" customHeight="false" outlineLevel="0" collapsed="false">
      <c r="A3" s="20" t="s">
        <v>58</v>
      </c>
    </row>
    <row r="4" customFormat="false" ht="30" hidden="false" customHeight="true" outlineLevel="0" collapsed="false">
      <c r="A4" s="13" t="s">
        <v>46</v>
      </c>
      <c r="B4" s="13" t="s">
        <v>47</v>
      </c>
      <c r="C4" s="13" t="s">
        <v>48</v>
      </c>
      <c r="D4" s="13" t="s">
        <v>49</v>
      </c>
      <c r="E4" s="13" t="s">
        <v>50</v>
      </c>
      <c r="F4" s="13" t="s">
        <v>51</v>
      </c>
      <c r="G4" s="13" t="s">
        <v>52</v>
      </c>
      <c r="H4" s="13" t="s">
        <v>53</v>
      </c>
      <c r="I4" s="13" t="s">
        <v>54</v>
      </c>
      <c r="J4" s="13" t="s">
        <v>55</v>
      </c>
      <c r="K4" s="13" t="s">
        <v>56</v>
      </c>
    </row>
    <row r="5" customFormat="false" ht="15" hidden="false" customHeight="false" outlineLevel="0" collapsed="false">
      <c r="A5" s="21" t="n">
        <v>1</v>
      </c>
      <c r="B5" s="22" t="n">
        <f aca="false">Supuestos!$C$7*(1-Supuestos!$C$9)+Supuestos!$C$8</f>
        <v>69</v>
      </c>
      <c r="C5" s="23" t="n">
        <f aca="false">Supuestos!$C$8</f>
        <v>20</v>
      </c>
      <c r="D5" s="24" t="n">
        <f aca="false">B5*Supuestos!$C$10</f>
        <v>3381</v>
      </c>
      <c r="E5" s="24" t="n">
        <f aca="false">D5*12</f>
        <v>40572</v>
      </c>
      <c r="F5" s="24" t="n">
        <f aca="false">C5*Supuestos!$C$11</f>
        <v>2400</v>
      </c>
      <c r="G5" s="24" t="n">
        <f aca="false">B5*Supuestos!$C$12</f>
        <v>345</v>
      </c>
      <c r="H5" s="25" t="n">
        <f aca="false">Supuestos!$C$13</f>
        <v>3000</v>
      </c>
      <c r="I5" s="24" t="n">
        <f aca="false">D5-G5</f>
        <v>3036</v>
      </c>
      <c r="J5" s="24" t="n">
        <f aca="false">I5-H5</f>
        <v>36</v>
      </c>
      <c r="K5" s="24" t="n">
        <f aca="false">J5-F5</f>
        <v>-2364</v>
      </c>
    </row>
    <row r="6" customFormat="false" ht="15" hidden="false" customHeight="false" outlineLevel="0" collapsed="false">
      <c r="A6" s="26" t="n">
        <v>2</v>
      </c>
      <c r="B6" s="27" t="n">
        <f aca="false">B5*(1-Supuestos!$C$9)+Supuestos!$C$8</f>
        <v>87.62</v>
      </c>
      <c r="C6" s="28" t="n">
        <f aca="false">Supuestos!$C$8</f>
        <v>20</v>
      </c>
      <c r="D6" s="29" t="n">
        <f aca="false">B6*Supuestos!$C$10</f>
        <v>4293.38</v>
      </c>
      <c r="E6" s="29" t="n">
        <f aca="false">D6*12</f>
        <v>51520.56</v>
      </c>
      <c r="F6" s="29" t="n">
        <f aca="false">C6*Supuestos!$C$11</f>
        <v>2400</v>
      </c>
      <c r="G6" s="29" t="n">
        <f aca="false">B6*Supuestos!$C$12</f>
        <v>438.1</v>
      </c>
      <c r="H6" s="30" t="n">
        <f aca="false">Supuestos!$C$13</f>
        <v>3000</v>
      </c>
      <c r="I6" s="29" t="n">
        <f aca="false">D6-G6</f>
        <v>3855.28</v>
      </c>
      <c r="J6" s="29" t="n">
        <f aca="false">I6-H6</f>
        <v>855.28</v>
      </c>
      <c r="K6" s="29" t="n">
        <f aca="false">J6-F6</f>
        <v>-1544.72</v>
      </c>
    </row>
    <row r="7" customFormat="false" ht="15" hidden="false" customHeight="false" outlineLevel="0" collapsed="false">
      <c r="A7" s="21" t="n">
        <v>3</v>
      </c>
      <c r="B7" s="22" t="n">
        <f aca="false">B6*(1-Supuestos!$C$9)+Supuestos!$C$8</f>
        <v>105.8676</v>
      </c>
      <c r="C7" s="23" t="n">
        <f aca="false">Supuestos!$C$8</f>
        <v>20</v>
      </c>
      <c r="D7" s="24" t="n">
        <f aca="false">B7*Supuestos!$C$10</f>
        <v>5187.5124</v>
      </c>
      <c r="E7" s="24" t="n">
        <f aca="false">D7*12</f>
        <v>62250.1488</v>
      </c>
      <c r="F7" s="24" t="n">
        <f aca="false">C7*Supuestos!$C$11</f>
        <v>2400</v>
      </c>
      <c r="G7" s="24" t="n">
        <f aca="false">B7*Supuestos!$C$12</f>
        <v>529.338</v>
      </c>
      <c r="H7" s="25" t="n">
        <f aca="false">Supuestos!$C$13</f>
        <v>3000</v>
      </c>
      <c r="I7" s="24" t="n">
        <f aca="false">D7-G7</f>
        <v>4658.1744</v>
      </c>
      <c r="J7" s="24" t="n">
        <f aca="false">I7-H7</f>
        <v>1658.1744</v>
      </c>
      <c r="K7" s="24" t="n">
        <f aca="false">J7-F7</f>
        <v>-741.8256</v>
      </c>
    </row>
    <row r="8" customFormat="false" ht="15" hidden="false" customHeight="false" outlineLevel="0" collapsed="false">
      <c r="A8" s="26" t="n">
        <v>4</v>
      </c>
      <c r="B8" s="27" t="n">
        <f aca="false">B7*(1-Supuestos!$C$9)+Supuestos!$C$8</f>
        <v>123.750248</v>
      </c>
      <c r="C8" s="28" t="n">
        <f aca="false">Supuestos!$C$8</f>
        <v>20</v>
      </c>
      <c r="D8" s="29" t="n">
        <f aca="false">B8*Supuestos!$C$10</f>
        <v>6063.762152</v>
      </c>
      <c r="E8" s="29" t="n">
        <f aca="false">D8*12</f>
        <v>72765.145824</v>
      </c>
      <c r="F8" s="29" t="n">
        <f aca="false">C8*Supuestos!$C$11</f>
        <v>2400</v>
      </c>
      <c r="G8" s="29" t="n">
        <f aca="false">B8*Supuestos!$C$12</f>
        <v>618.75124</v>
      </c>
      <c r="H8" s="30" t="n">
        <f aca="false">Supuestos!$C$13</f>
        <v>3000</v>
      </c>
      <c r="I8" s="29" t="n">
        <f aca="false">D8-G8</f>
        <v>5445.010912</v>
      </c>
      <c r="J8" s="29" t="n">
        <f aca="false">I8-H8</f>
        <v>2445.010912</v>
      </c>
      <c r="K8" s="29" t="n">
        <f aca="false">J8-F8</f>
        <v>45.0109119999997</v>
      </c>
    </row>
    <row r="9" customFormat="false" ht="15" hidden="false" customHeight="false" outlineLevel="0" collapsed="false">
      <c r="A9" s="21" t="n">
        <v>5</v>
      </c>
      <c r="B9" s="22" t="n">
        <f aca="false">B8*(1-Supuestos!$C$9)+Supuestos!$C$8</f>
        <v>141.27524304</v>
      </c>
      <c r="C9" s="23" t="n">
        <f aca="false">Supuestos!$C$8</f>
        <v>20</v>
      </c>
      <c r="D9" s="24" t="n">
        <f aca="false">B9*Supuestos!$C$10</f>
        <v>6922.48690896</v>
      </c>
      <c r="E9" s="24" t="n">
        <f aca="false">D9*12</f>
        <v>83069.84290752</v>
      </c>
      <c r="F9" s="24" t="n">
        <f aca="false">C9*Supuestos!$C$11</f>
        <v>2400</v>
      </c>
      <c r="G9" s="24" t="n">
        <f aca="false">B9*Supuestos!$C$12</f>
        <v>706.3762152</v>
      </c>
      <c r="H9" s="25" t="n">
        <f aca="false">Supuestos!$C$13</f>
        <v>3000</v>
      </c>
      <c r="I9" s="24" t="n">
        <f aca="false">D9-G9</f>
        <v>6216.11069376</v>
      </c>
      <c r="J9" s="24" t="n">
        <f aca="false">I9-H9</f>
        <v>3216.11069376</v>
      </c>
      <c r="K9" s="24" t="n">
        <f aca="false">J9-F9</f>
        <v>816.11069376</v>
      </c>
    </row>
    <row r="10" customFormat="false" ht="15" hidden="false" customHeight="false" outlineLevel="0" collapsed="false">
      <c r="A10" s="26" t="n">
        <v>6</v>
      </c>
      <c r="B10" s="27" t="n">
        <f aca="false">B9*(1-Supuestos!$C$9)+Supuestos!$C$8</f>
        <v>158.4497381792</v>
      </c>
      <c r="C10" s="28" t="n">
        <f aca="false">Supuestos!$C$8</f>
        <v>20</v>
      </c>
      <c r="D10" s="29" t="n">
        <f aca="false">B10*Supuestos!$C$10</f>
        <v>7764.0371707808</v>
      </c>
      <c r="E10" s="29" t="n">
        <f aca="false">D10*12</f>
        <v>93168.4460493696</v>
      </c>
      <c r="F10" s="29" t="n">
        <f aca="false">C10*Supuestos!$C$11</f>
        <v>2400</v>
      </c>
      <c r="G10" s="29" t="n">
        <f aca="false">B10*Supuestos!$C$12</f>
        <v>792.248690896</v>
      </c>
      <c r="H10" s="30" t="n">
        <f aca="false">Supuestos!$C$13</f>
        <v>3000</v>
      </c>
      <c r="I10" s="29" t="n">
        <f aca="false">D10-G10</f>
        <v>6971.7884798848</v>
      </c>
      <c r="J10" s="29" t="n">
        <f aca="false">I10-H10</f>
        <v>3971.7884798848</v>
      </c>
      <c r="K10" s="29" t="n">
        <f aca="false">J10-F10</f>
        <v>1571.7884798848</v>
      </c>
    </row>
    <row r="11" customFormat="false" ht="15" hidden="false" customHeight="false" outlineLevel="0" collapsed="false">
      <c r="A11" s="21" t="n">
        <v>7</v>
      </c>
      <c r="B11" s="22" t="n">
        <f aca="false">B10*(1-Supuestos!$C$9)+Supuestos!$C$8</f>
        <v>175.280743415616</v>
      </c>
      <c r="C11" s="23" t="n">
        <f aca="false">Supuestos!$C$8</f>
        <v>20</v>
      </c>
      <c r="D11" s="24" t="n">
        <f aca="false">B11*Supuestos!$C$10</f>
        <v>8588.75642736518</v>
      </c>
      <c r="E11" s="24" t="n">
        <f aca="false">D11*12</f>
        <v>103065.077128382</v>
      </c>
      <c r="F11" s="24" t="n">
        <f aca="false">C11*Supuestos!$C$11</f>
        <v>2400</v>
      </c>
      <c r="G11" s="24" t="n">
        <f aca="false">B11*Supuestos!$C$12</f>
        <v>876.40371707808</v>
      </c>
      <c r="H11" s="25" t="n">
        <f aca="false">Supuestos!$C$13</f>
        <v>3000</v>
      </c>
      <c r="I11" s="24" t="n">
        <f aca="false">D11-G11</f>
        <v>7712.3527102871</v>
      </c>
      <c r="J11" s="24" t="n">
        <f aca="false">I11-H11</f>
        <v>4712.3527102871</v>
      </c>
      <c r="K11" s="24" t="n">
        <f aca="false">J11-F11</f>
        <v>2312.3527102871</v>
      </c>
    </row>
    <row r="12" customFormat="false" ht="15" hidden="false" customHeight="false" outlineLevel="0" collapsed="false">
      <c r="A12" s="26" t="n">
        <v>8</v>
      </c>
      <c r="B12" s="27" t="n">
        <f aca="false">B11*(1-Supuestos!$C$9)+Supuestos!$C$8</f>
        <v>191.775128547304</v>
      </c>
      <c r="C12" s="28" t="n">
        <f aca="false">Supuestos!$C$8</f>
        <v>20</v>
      </c>
      <c r="D12" s="29" t="n">
        <f aca="false">B12*Supuestos!$C$10</f>
        <v>9396.98129881788</v>
      </c>
      <c r="E12" s="29" t="n">
        <f aca="false">D12*12</f>
        <v>112763.775585815</v>
      </c>
      <c r="F12" s="29" t="n">
        <f aca="false">C12*Supuestos!$C$11</f>
        <v>2400</v>
      </c>
      <c r="G12" s="29" t="n">
        <f aca="false">B12*Supuestos!$C$12</f>
        <v>958.875642736518</v>
      </c>
      <c r="H12" s="30" t="n">
        <f aca="false">Supuestos!$C$13</f>
        <v>3000</v>
      </c>
      <c r="I12" s="29" t="n">
        <f aca="false">D12-G12</f>
        <v>8438.10565608136</v>
      </c>
      <c r="J12" s="29" t="n">
        <f aca="false">I12-H12</f>
        <v>5438.10565608136</v>
      </c>
      <c r="K12" s="29" t="n">
        <f aca="false">J12-F12</f>
        <v>3038.10565608136</v>
      </c>
    </row>
    <row r="13" customFormat="false" ht="15" hidden="false" customHeight="false" outlineLevel="0" collapsed="false">
      <c r="A13" s="21" t="n">
        <v>9</v>
      </c>
      <c r="B13" s="22" t="n">
        <f aca="false">B12*(1-Supuestos!$C$9)+Supuestos!$C$8</f>
        <v>207.939625976358</v>
      </c>
      <c r="C13" s="23" t="n">
        <f aca="false">Supuestos!$C$8</f>
        <v>20</v>
      </c>
      <c r="D13" s="24" t="n">
        <f aca="false">B13*Supuestos!$C$10</f>
        <v>10189.0416728415</v>
      </c>
      <c r="E13" s="24" t="n">
        <f aca="false">D13*12</f>
        <v>122268.500074098</v>
      </c>
      <c r="F13" s="24" t="n">
        <f aca="false">C13*Supuestos!$C$11</f>
        <v>2400</v>
      </c>
      <c r="G13" s="24" t="n">
        <f aca="false">B13*Supuestos!$C$12</f>
        <v>1039.69812988179</v>
      </c>
      <c r="H13" s="25" t="n">
        <f aca="false">Supuestos!$C$13</f>
        <v>3000</v>
      </c>
      <c r="I13" s="24" t="n">
        <f aca="false">D13-G13</f>
        <v>9149.34354295973</v>
      </c>
      <c r="J13" s="24" t="n">
        <f aca="false">I13-H13</f>
        <v>6149.34354295973</v>
      </c>
      <c r="K13" s="24" t="n">
        <f aca="false">J13-F13</f>
        <v>3749.34354295973</v>
      </c>
    </row>
    <row r="14" customFormat="false" ht="15" hidden="false" customHeight="false" outlineLevel="0" collapsed="false">
      <c r="A14" s="26" t="n">
        <v>10</v>
      </c>
      <c r="B14" s="27" t="n">
        <f aca="false">B13*(1-Supuestos!$C$9)+Supuestos!$C$8</f>
        <v>223.78083345683</v>
      </c>
      <c r="C14" s="28" t="n">
        <f aca="false">Supuestos!$C$8</f>
        <v>20</v>
      </c>
      <c r="D14" s="29" t="n">
        <f aca="false">B14*Supuestos!$C$10</f>
        <v>10965.2608393847</v>
      </c>
      <c r="E14" s="29" t="n">
        <f aca="false">D14*12</f>
        <v>131583.130072616</v>
      </c>
      <c r="F14" s="29" t="n">
        <f aca="false">C14*Supuestos!$C$11</f>
        <v>2400</v>
      </c>
      <c r="G14" s="29" t="n">
        <f aca="false">B14*Supuestos!$C$12</f>
        <v>1118.90416728415</v>
      </c>
      <c r="H14" s="30" t="n">
        <f aca="false">Supuestos!$C$13</f>
        <v>3000</v>
      </c>
      <c r="I14" s="29" t="n">
        <f aca="false">D14-G14</f>
        <v>9846.35667210054</v>
      </c>
      <c r="J14" s="29" t="n">
        <f aca="false">I14-H14</f>
        <v>6846.35667210054</v>
      </c>
      <c r="K14" s="29" t="n">
        <f aca="false">J14-F14</f>
        <v>4446.35667210054</v>
      </c>
    </row>
    <row r="15" customFormat="false" ht="15" hidden="false" customHeight="false" outlineLevel="0" collapsed="false">
      <c r="A15" s="21" t="n">
        <v>11</v>
      </c>
      <c r="B15" s="22" t="n">
        <f aca="false">B14*(1-Supuestos!$C$9)+Supuestos!$C$8</f>
        <v>239.305216787694</v>
      </c>
      <c r="C15" s="23" t="n">
        <f aca="false">Supuestos!$C$8</f>
        <v>20</v>
      </c>
      <c r="D15" s="24" t="n">
        <f aca="false">B15*Supuestos!$C$10</f>
        <v>11725.955622597</v>
      </c>
      <c r="E15" s="24" t="n">
        <f aca="false">D15*12</f>
        <v>140711.467471164</v>
      </c>
      <c r="F15" s="24" t="n">
        <f aca="false">C15*Supuestos!$C$11</f>
        <v>2400</v>
      </c>
      <c r="G15" s="24" t="n">
        <f aca="false">B15*Supuestos!$C$12</f>
        <v>1196.52608393847</v>
      </c>
      <c r="H15" s="25" t="n">
        <f aca="false">Supuestos!$C$13</f>
        <v>3000</v>
      </c>
      <c r="I15" s="24" t="n">
        <f aca="false">D15-G15</f>
        <v>10529.4295386585</v>
      </c>
      <c r="J15" s="24" t="n">
        <f aca="false">I15-H15</f>
        <v>7529.42953865853</v>
      </c>
      <c r="K15" s="24" t="n">
        <f aca="false">J15-F15</f>
        <v>5129.42953865853</v>
      </c>
    </row>
    <row r="16" customFormat="false" ht="15" hidden="false" customHeight="false" outlineLevel="0" collapsed="false">
      <c r="A16" s="26" t="n">
        <v>12</v>
      </c>
      <c r="B16" s="27" t="n">
        <f aca="false">B15*(1-Supuestos!$C$9)+Supuestos!$C$8</f>
        <v>254.51911245194</v>
      </c>
      <c r="C16" s="28" t="n">
        <f aca="false">Supuestos!$C$8</f>
        <v>20</v>
      </c>
      <c r="D16" s="29" t="n">
        <f aca="false">B16*Supuestos!$C$10</f>
        <v>12471.4365101451</v>
      </c>
      <c r="E16" s="29" t="n">
        <f aca="false">D16*12</f>
        <v>149657.238121741</v>
      </c>
      <c r="F16" s="29" t="n">
        <f aca="false">C16*Supuestos!$C$11</f>
        <v>2400</v>
      </c>
      <c r="G16" s="29" t="n">
        <f aca="false">B16*Supuestos!$C$12</f>
        <v>1272.5955622597</v>
      </c>
      <c r="H16" s="30" t="n">
        <f aca="false">Supuestos!$C$13</f>
        <v>3000</v>
      </c>
      <c r="I16" s="29" t="n">
        <f aca="false">D16-G16</f>
        <v>11198.8409478854</v>
      </c>
      <c r="J16" s="29" t="n">
        <f aca="false">I16-H16</f>
        <v>8198.84094788536</v>
      </c>
      <c r="K16" s="29" t="n">
        <f aca="false">J16-F16</f>
        <v>5798.84094788536</v>
      </c>
    </row>
    <row r="17" customFormat="false" ht="15" hidden="false" customHeight="false" outlineLevel="0" collapsed="false">
      <c r="A17" s="21" t="n">
        <v>13</v>
      </c>
      <c r="B17" s="22" t="n">
        <f aca="false">B16*(1-Supuestos!$C$9)+Supuestos!$C$8</f>
        <v>269.428730202901</v>
      </c>
      <c r="C17" s="23" t="n">
        <f aca="false">Supuestos!$C$8</f>
        <v>20</v>
      </c>
      <c r="D17" s="24" t="n">
        <f aca="false">B17*Supuestos!$C$10</f>
        <v>13202.0077799422</v>
      </c>
      <c r="E17" s="24" t="n">
        <f aca="false">D17*12</f>
        <v>158424.093359306</v>
      </c>
      <c r="F17" s="24" t="n">
        <f aca="false">C17*Supuestos!$C$11</f>
        <v>2400</v>
      </c>
      <c r="G17" s="24" t="n">
        <f aca="false">B17*Supuestos!$C$12</f>
        <v>1347.14365101451</v>
      </c>
      <c r="H17" s="25" t="n">
        <f aca="false">Supuestos!$C$13</f>
        <v>3000</v>
      </c>
      <c r="I17" s="24" t="n">
        <f aca="false">D17-G17</f>
        <v>11854.8641289276</v>
      </c>
      <c r="J17" s="24" t="n">
        <f aca="false">I17-H17</f>
        <v>8854.86412892765</v>
      </c>
      <c r="K17" s="24" t="n">
        <f aca="false">J17-F17</f>
        <v>6454.86412892765</v>
      </c>
    </row>
    <row r="18" customFormat="false" ht="15" hidden="false" customHeight="false" outlineLevel="0" collapsed="false">
      <c r="A18" s="26" t="n">
        <v>14</v>
      </c>
      <c r="B18" s="27" t="n">
        <f aca="false">B17*(1-Supuestos!$C$9)+Supuestos!$C$8</f>
        <v>284.040155598843</v>
      </c>
      <c r="C18" s="28" t="n">
        <f aca="false">Supuestos!$C$8</f>
        <v>20</v>
      </c>
      <c r="D18" s="29" t="n">
        <f aca="false">B18*Supuestos!$C$10</f>
        <v>13917.9676243433</v>
      </c>
      <c r="E18" s="29" t="n">
        <f aca="false">D18*12</f>
        <v>167015.61149212</v>
      </c>
      <c r="F18" s="29" t="n">
        <f aca="false">C18*Supuestos!$C$11</f>
        <v>2400</v>
      </c>
      <c r="G18" s="29" t="n">
        <f aca="false">B18*Supuestos!$C$12</f>
        <v>1420.20077799422</v>
      </c>
      <c r="H18" s="30" t="n">
        <f aca="false">Supuestos!$C$13</f>
        <v>3000</v>
      </c>
      <c r="I18" s="29" t="n">
        <f aca="false">D18-G18</f>
        <v>12497.7668463491</v>
      </c>
      <c r="J18" s="29" t="n">
        <f aca="false">I18-H18</f>
        <v>9497.76684634909</v>
      </c>
      <c r="K18" s="29" t="n">
        <f aca="false">J18-F18</f>
        <v>7097.76684634909</v>
      </c>
    </row>
    <row r="19" customFormat="false" ht="15" hidden="false" customHeight="false" outlineLevel="0" collapsed="false">
      <c r="A19" s="21" t="n">
        <v>15</v>
      </c>
      <c r="B19" s="22" t="n">
        <f aca="false">B18*(1-Supuestos!$C$9)+Supuestos!$C$8</f>
        <v>298.359352486866</v>
      </c>
      <c r="C19" s="23" t="n">
        <f aca="false">Supuestos!$C$8</f>
        <v>20</v>
      </c>
      <c r="D19" s="24" t="n">
        <f aca="false">B19*Supuestos!$C$10</f>
        <v>14619.6082718564</v>
      </c>
      <c r="E19" s="24" t="n">
        <f aca="false">D19*12</f>
        <v>175435.299262277</v>
      </c>
      <c r="F19" s="24" t="n">
        <f aca="false">C19*Supuestos!$C$11</f>
        <v>2400</v>
      </c>
      <c r="G19" s="24" t="n">
        <f aca="false">B19*Supuestos!$C$12</f>
        <v>1491.79676243433</v>
      </c>
      <c r="H19" s="25" t="n">
        <f aca="false">Supuestos!$C$13</f>
        <v>3000</v>
      </c>
      <c r="I19" s="24" t="n">
        <f aca="false">D19-G19</f>
        <v>13127.8115094221</v>
      </c>
      <c r="J19" s="24" t="n">
        <f aca="false">I19-H19</f>
        <v>10127.8115094221</v>
      </c>
      <c r="K19" s="24" t="n">
        <f aca="false">J19-F19</f>
        <v>7727.81150942211</v>
      </c>
    </row>
    <row r="20" customFormat="false" ht="15" hidden="false" customHeight="false" outlineLevel="0" collapsed="false">
      <c r="A20" s="26" t="n">
        <v>16</v>
      </c>
      <c r="B20" s="27" t="n">
        <f aca="false">B19*(1-Supuestos!$C$9)+Supuestos!$C$8</f>
        <v>312.392165437129</v>
      </c>
      <c r="C20" s="28" t="n">
        <f aca="false">Supuestos!$C$8</f>
        <v>20</v>
      </c>
      <c r="D20" s="29" t="n">
        <f aca="false">B20*Supuestos!$C$10</f>
        <v>15307.2161064193</v>
      </c>
      <c r="E20" s="29" t="n">
        <f aca="false">D20*12</f>
        <v>183686.593277032</v>
      </c>
      <c r="F20" s="29" t="n">
        <f aca="false">C20*Supuestos!$C$11</f>
        <v>2400</v>
      </c>
      <c r="G20" s="29" t="n">
        <f aca="false">B20*Supuestos!$C$12</f>
        <v>1561.96082718564</v>
      </c>
      <c r="H20" s="30" t="n">
        <f aca="false">Supuestos!$C$13</f>
        <v>3000</v>
      </c>
      <c r="I20" s="29" t="n">
        <f aca="false">D20-G20</f>
        <v>13745.2552792337</v>
      </c>
      <c r="J20" s="29" t="n">
        <f aca="false">I20-H20</f>
        <v>10745.2552792337</v>
      </c>
      <c r="K20" s="29" t="n">
        <f aca="false">J20-F20</f>
        <v>8345.25527923367</v>
      </c>
    </row>
    <row r="21" customFormat="false" ht="15" hidden="false" customHeight="false" outlineLevel="0" collapsed="false">
      <c r="A21" s="21" t="n">
        <v>17</v>
      </c>
      <c r="B21" s="22" t="n">
        <f aca="false">B20*(1-Supuestos!$C$9)+Supuestos!$C$8</f>
        <v>326.144322128386</v>
      </c>
      <c r="C21" s="23" t="n">
        <f aca="false">Supuestos!$C$8</f>
        <v>20</v>
      </c>
      <c r="D21" s="24" t="n">
        <f aca="false">B21*Supuestos!$C$10</f>
        <v>15981.0717842909</v>
      </c>
      <c r="E21" s="24" t="n">
        <f aca="false">D21*12</f>
        <v>191772.861411491</v>
      </c>
      <c r="F21" s="24" t="n">
        <f aca="false">C21*Supuestos!$C$11</f>
        <v>2400</v>
      </c>
      <c r="G21" s="24" t="n">
        <f aca="false">B21*Supuestos!$C$12</f>
        <v>1630.72161064193</v>
      </c>
      <c r="H21" s="25" t="n">
        <f aca="false">Supuestos!$C$13</f>
        <v>3000</v>
      </c>
      <c r="I21" s="24" t="n">
        <f aca="false">D21-G21</f>
        <v>14350.350173649</v>
      </c>
      <c r="J21" s="24" t="n">
        <f aca="false">I21-H21</f>
        <v>11350.350173649</v>
      </c>
      <c r="K21" s="24" t="n">
        <f aca="false">J21-F21</f>
        <v>8950.350173649</v>
      </c>
    </row>
    <row r="22" customFormat="false" ht="15" hidden="false" customHeight="false" outlineLevel="0" collapsed="false">
      <c r="A22" s="26" t="n">
        <v>18</v>
      </c>
      <c r="B22" s="27" t="n">
        <f aca="false">B21*(1-Supuestos!$C$9)+Supuestos!$C$8</f>
        <v>339.621435685819</v>
      </c>
      <c r="C22" s="28" t="n">
        <f aca="false">Supuestos!$C$8</f>
        <v>20</v>
      </c>
      <c r="D22" s="29" t="n">
        <f aca="false">B22*Supuestos!$C$10</f>
        <v>16641.4503486051</v>
      </c>
      <c r="E22" s="29" t="n">
        <f aca="false">D22*12</f>
        <v>199697.404183261</v>
      </c>
      <c r="F22" s="29" t="n">
        <f aca="false">C22*Supuestos!$C$11</f>
        <v>2400</v>
      </c>
      <c r="G22" s="29" t="n">
        <f aca="false">B22*Supuestos!$C$12</f>
        <v>1698.10717842909</v>
      </c>
      <c r="H22" s="30" t="n">
        <f aca="false">Supuestos!$C$13</f>
        <v>3000</v>
      </c>
      <c r="I22" s="29" t="n">
        <f aca="false">D22-G22</f>
        <v>14943.343170176</v>
      </c>
      <c r="J22" s="29" t="n">
        <f aca="false">I22-H22</f>
        <v>11943.343170176</v>
      </c>
      <c r="K22" s="29" t="n">
        <f aca="false">J22-F22</f>
        <v>9543.34317017602</v>
      </c>
    </row>
    <row r="23" customFormat="false" ht="15" hidden="false" customHeight="false" outlineLevel="0" collapsed="false">
      <c r="A23" s="21" t="n">
        <v>19</v>
      </c>
      <c r="B23" s="22" t="n">
        <f aca="false">B22*(1-Supuestos!$C$9)+Supuestos!$C$8</f>
        <v>352.829006972102</v>
      </c>
      <c r="C23" s="23" t="n">
        <f aca="false">Supuestos!$C$8</f>
        <v>20</v>
      </c>
      <c r="D23" s="24" t="n">
        <f aca="false">B23*Supuestos!$C$10</f>
        <v>17288.621341633</v>
      </c>
      <c r="E23" s="24" t="n">
        <f aca="false">D23*12</f>
        <v>207463.456099596</v>
      </c>
      <c r="F23" s="24" t="n">
        <f aca="false">C23*Supuestos!$C$11</f>
        <v>2400</v>
      </c>
      <c r="G23" s="24" t="n">
        <f aca="false">B23*Supuestos!$C$12</f>
        <v>1764.14503486051</v>
      </c>
      <c r="H23" s="25" t="n">
        <f aca="false">Supuestos!$C$13</f>
        <v>3000</v>
      </c>
      <c r="I23" s="24" t="n">
        <f aca="false">D23-G23</f>
        <v>15524.4763067725</v>
      </c>
      <c r="J23" s="24" t="n">
        <f aca="false">I23-H23</f>
        <v>12524.4763067725</v>
      </c>
      <c r="K23" s="24" t="n">
        <f aca="false">J23-F23</f>
        <v>10124.4763067725</v>
      </c>
    </row>
    <row r="24" customFormat="false" ht="15" hidden="false" customHeight="false" outlineLevel="0" collapsed="false">
      <c r="A24" s="26" t="n">
        <v>20</v>
      </c>
      <c r="B24" s="27" t="n">
        <f aca="false">B23*(1-Supuestos!$C$9)+Supuestos!$C$8</f>
        <v>365.77242683266</v>
      </c>
      <c r="C24" s="28" t="n">
        <f aca="false">Supuestos!$C$8</f>
        <v>20</v>
      </c>
      <c r="D24" s="29" t="n">
        <f aca="false">B24*Supuestos!$C$10</f>
        <v>17922.8489148003</v>
      </c>
      <c r="E24" s="29" t="n">
        <f aca="false">D24*12</f>
        <v>215074.186977604</v>
      </c>
      <c r="F24" s="29" t="n">
        <f aca="false">C24*Supuestos!$C$11</f>
        <v>2400</v>
      </c>
      <c r="G24" s="29" t="n">
        <f aca="false">B24*Supuestos!$C$12</f>
        <v>1828.8621341633</v>
      </c>
      <c r="H24" s="30" t="n">
        <f aca="false">Supuestos!$C$13</f>
        <v>3000</v>
      </c>
      <c r="I24" s="29" t="n">
        <f aca="false">D24-G24</f>
        <v>16093.986780637</v>
      </c>
      <c r="J24" s="29" t="n">
        <f aca="false">I24-H24</f>
        <v>13093.986780637</v>
      </c>
      <c r="K24" s="29" t="n">
        <f aca="false">J24-F24</f>
        <v>10693.986780637</v>
      </c>
    </row>
    <row r="25" customFormat="false" ht="15" hidden="false" customHeight="false" outlineLevel="0" collapsed="false">
      <c r="A25" s="21" t="n">
        <v>21</v>
      </c>
      <c r="B25" s="22" t="n">
        <f aca="false">B24*(1-Supuestos!$C$9)+Supuestos!$C$8</f>
        <v>378.456978296007</v>
      </c>
      <c r="C25" s="23" t="n">
        <f aca="false">Supuestos!$C$8</f>
        <v>20</v>
      </c>
      <c r="D25" s="24" t="n">
        <f aca="false">B25*Supuestos!$C$10</f>
        <v>18544.3919365043</v>
      </c>
      <c r="E25" s="24" t="n">
        <f aca="false">D25*12</f>
        <v>222532.703238052</v>
      </c>
      <c r="F25" s="24" t="n">
        <f aca="false">C25*Supuestos!$C$11</f>
        <v>2400</v>
      </c>
      <c r="G25" s="24" t="n">
        <f aca="false">B25*Supuestos!$C$12</f>
        <v>1892.28489148003</v>
      </c>
      <c r="H25" s="25" t="n">
        <f aca="false">Supuestos!$C$13</f>
        <v>3000</v>
      </c>
      <c r="I25" s="24" t="n">
        <f aca="false">D25-G25</f>
        <v>16652.1070450243</v>
      </c>
      <c r="J25" s="24" t="n">
        <f aca="false">I25-H25</f>
        <v>13652.1070450243</v>
      </c>
      <c r="K25" s="24" t="n">
        <f aca="false">J25-F25</f>
        <v>11252.1070450243</v>
      </c>
    </row>
    <row r="26" customFormat="false" ht="15" hidden="false" customHeight="false" outlineLevel="0" collapsed="false">
      <c r="A26" s="26" t="n">
        <v>22</v>
      </c>
      <c r="B26" s="27" t="n">
        <f aca="false">B25*(1-Supuestos!$C$9)+Supuestos!$C$8</f>
        <v>390.887838730087</v>
      </c>
      <c r="C26" s="28" t="n">
        <f aca="false">Supuestos!$C$8</f>
        <v>20</v>
      </c>
      <c r="D26" s="29" t="n">
        <f aca="false">B26*Supuestos!$C$10</f>
        <v>19153.5040977743</v>
      </c>
      <c r="E26" s="29" t="n">
        <f aca="false">D26*12</f>
        <v>229842.049173291</v>
      </c>
      <c r="F26" s="29" t="n">
        <f aca="false">C26*Supuestos!$C$11</f>
        <v>2400</v>
      </c>
      <c r="G26" s="29" t="n">
        <f aca="false">B26*Supuestos!$C$12</f>
        <v>1954.43919365043</v>
      </c>
      <c r="H26" s="30" t="n">
        <f aca="false">Supuestos!$C$13</f>
        <v>3000</v>
      </c>
      <c r="I26" s="29" t="n">
        <f aca="false">D26-G26</f>
        <v>17199.0649041238</v>
      </c>
      <c r="J26" s="29" t="n">
        <f aca="false">I26-H26</f>
        <v>14199.0649041238</v>
      </c>
      <c r="K26" s="29" t="n">
        <f aca="false">J26-F26</f>
        <v>11799.0649041238</v>
      </c>
    </row>
    <row r="27" customFormat="false" ht="15" hidden="false" customHeight="false" outlineLevel="0" collapsed="false">
      <c r="A27" s="21" t="n">
        <v>23</v>
      </c>
      <c r="B27" s="22" t="n">
        <f aca="false">B26*(1-Supuestos!$C$9)+Supuestos!$C$8</f>
        <v>403.070081955485</v>
      </c>
      <c r="C27" s="23" t="n">
        <f aca="false">Supuestos!$C$8</f>
        <v>20</v>
      </c>
      <c r="D27" s="24" t="n">
        <f aca="false">B27*Supuestos!$C$10</f>
        <v>19750.4340158188</v>
      </c>
      <c r="E27" s="24" t="n">
        <f aca="false">D27*12</f>
        <v>237005.208189825</v>
      </c>
      <c r="F27" s="24" t="n">
        <f aca="false">C27*Supuestos!$C$11</f>
        <v>2400</v>
      </c>
      <c r="G27" s="24" t="n">
        <f aca="false">B27*Supuestos!$C$12</f>
        <v>2015.35040977743</v>
      </c>
      <c r="H27" s="25" t="n">
        <f aca="false">Supuestos!$C$13</f>
        <v>3000</v>
      </c>
      <c r="I27" s="24" t="n">
        <f aca="false">D27-G27</f>
        <v>17735.0836060413</v>
      </c>
      <c r="J27" s="24" t="n">
        <f aca="false">I27-H27</f>
        <v>14735.0836060413</v>
      </c>
      <c r="K27" s="24" t="n">
        <f aca="false">J27-F27</f>
        <v>12335.0836060413</v>
      </c>
    </row>
    <row r="28" customFormat="false" ht="15" hidden="false" customHeight="false" outlineLevel="0" collapsed="false">
      <c r="A28" s="26" t="n">
        <v>24</v>
      </c>
      <c r="B28" s="27" t="n">
        <f aca="false">B27*(1-Supuestos!$C$9)+Supuestos!$C$8</f>
        <v>415.008680316375</v>
      </c>
      <c r="C28" s="28" t="n">
        <f aca="false">Supuestos!$C$8</f>
        <v>20</v>
      </c>
      <c r="D28" s="29" t="n">
        <f aca="false">B28*Supuestos!$C$10</f>
        <v>20335.4253355024</v>
      </c>
      <c r="E28" s="29" t="n">
        <f aca="false">D28*12</f>
        <v>244025.104026029</v>
      </c>
      <c r="F28" s="29" t="n">
        <f aca="false">C28*Supuestos!$C$11</f>
        <v>2400</v>
      </c>
      <c r="G28" s="29" t="n">
        <f aca="false">B28*Supuestos!$C$12</f>
        <v>2075.04340158188</v>
      </c>
      <c r="H28" s="30" t="n">
        <f aca="false">Supuestos!$C$13</f>
        <v>3000</v>
      </c>
      <c r="I28" s="29" t="n">
        <f aca="false">D28-G28</f>
        <v>18260.3819339205</v>
      </c>
      <c r="J28" s="29" t="n">
        <f aca="false">I28-H28</f>
        <v>15260.3819339205</v>
      </c>
      <c r="K28" s="29" t="n">
        <f aca="false">J28-F28</f>
        <v>12860.3819339205</v>
      </c>
    </row>
    <row r="29" customFormat="false" ht="15" hidden="false" customHeight="false" outlineLevel="0" collapsed="false">
      <c r="A29" s="21" t="n">
        <v>25</v>
      </c>
      <c r="B29" s="22" t="n">
        <f aca="false">B28*(1-Supuestos!$C$9)+Supuestos!$C$8</f>
        <v>426.708506710048</v>
      </c>
      <c r="C29" s="23" t="n">
        <f aca="false">Supuestos!$C$8</f>
        <v>20</v>
      </c>
      <c r="D29" s="24" t="n">
        <f aca="false">B29*Supuestos!$C$10</f>
        <v>20908.7168287923</v>
      </c>
      <c r="E29" s="24" t="n">
        <f aca="false">D29*12</f>
        <v>250904.601945508</v>
      </c>
      <c r="F29" s="24" t="n">
        <f aca="false">C29*Supuestos!$C$11</f>
        <v>2400</v>
      </c>
      <c r="G29" s="24" t="n">
        <f aca="false">B29*Supuestos!$C$12</f>
        <v>2133.54253355024</v>
      </c>
      <c r="H29" s="25" t="n">
        <f aca="false">Supuestos!$C$13</f>
        <v>3000</v>
      </c>
      <c r="I29" s="24" t="n">
        <f aca="false">D29-G29</f>
        <v>18775.1742952421</v>
      </c>
      <c r="J29" s="24" t="n">
        <f aca="false">I29-H29</f>
        <v>15775.1742952421</v>
      </c>
      <c r="K29" s="24" t="n">
        <f aca="false">J29-F29</f>
        <v>13375.1742952421</v>
      </c>
    </row>
    <row r="30" customFormat="false" ht="15" hidden="false" customHeight="false" outlineLevel="0" collapsed="false">
      <c r="A30" s="26" t="n">
        <v>26</v>
      </c>
      <c r="B30" s="27" t="n">
        <f aca="false">B29*(1-Supuestos!$C$9)+Supuestos!$C$8</f>
        <v>438.174336575847</v>
      </c>
      <c r="C30" s="28" t="n">
        <f aca="false">Supuestos!$C$8</f>
        <v>20</v>
      </c>
      <c r="D30" s="29" t="n">
        <f aca="false">B30*Supuestos!$C$10</f>
        <v>21470.5424922165</v>
      </c>
      <c r="E30" s="29" t="n">
        <f aca="false">D30*12</f>
        <v>257646.509906598</v>
      </c>
      <c r="F30" s="29" t="n">
        <f aca="false">C30*Supuestos!$C$11</f>
        <v>2400</v>
      </c>
      <c r="G30" s="29" t="n">
        <f aca="false">B30*Supuestos!$C$12</f>
        <v>2190.87168287923</v>
      </c>
      <c r="H30" s="30" t="n">
        <f aca="false">Supuestos!$C$13</f>
        <v>3000</v>
      </c>
      <c r="I30" s="29" t="n">
        <f aca="false">D30-G30</f>
        <v>19279.6708093373</v>
      </c>
      <c r="J30" s="29" t="n">
        <f aca="false">I30-H30</f>
        <v>16279.6708093373</v>
      </c>
      <c r="K30" s="29" t="n">
        <f aca="false">J30-F30</f>
        <v>13879.6708093373</v>
      </c>
    </row>
    <row r="31" customFormat="false" ht="15" hidden="false" customHeight="false" outlineLevel="0" collapsed="false">
      <c r="A31" s="21" t="n">
        <v>27</v>
      </c>
      <c r="B31" s="22" t="n">
        <f aca="false">B30*(1-Supuestos!$C$9)+Supuestos!$C$8</f>
        <v>449.41084984433</v>
      </c>
      <c r="C31" s="23" t="n">
        <f aca="false">Supuestos!$C$8</f>
        <v>20</v>
      </c>
      <c r="D31" s="24" t="n">
        <f aca="false">B31*Supuestos!$C$10</f>
        <v>22021.1316423722</v>
      </c>
      <c r="E31" s="24" t="n">
        <f aca="false">D31*12</f>
        <v>264253.579708466</v>
      </c>
      <c r="F31" s="24" t="n">
        <f aca="false">C31*Supuestos!$C$11</f>
        <v>2400</v>
      </c>
      <c r="G31" s="24" t="n">
        <f aca="false">B31*Supuestos!$C$12</f>
        <v>2247.05424922165</v>
      </c>
      <c r="H31" s="25" t="n">
        <f aca="false">Supuestos!$C$13</f>
        <v>3000</v>
      </c>
      <c r="I31" s="24" t="n">
        <f aca="false">D31-G31</f>
        <v>19774.0773931505</v>
      </c>
      <c r="J31" s="24" t="n">
        <f aca="false">I31-H31</f>
        <v>16774.0773931505</v>
      </c>
      <c r="K31" s="24" t="n">
        <f aca="false">J31-F31</f>
        <v>14374.0773931505</v>
      </c>
    </row>
    <row r="32" customFormat="false" ht="15" hidden="false" customHeight="false" outlineLevel="0" collapsed="false">
      <c r="A32" s="26" t="n">
        <v>28</v>
      </c>
      <c r="B32" s="27" t="n">
        <f aca="false">B31*(1-Supuestos!$C$9)+Supuestos!$C$8</f>
        <v>460.422632847443</v>
      </c>
      <c r="C32" s="28" t="n">
        <f aca="false">Supuestos!$C$8</f>
        <v>20</v>
      </c>
      <c r="D32" s="29" t="n">
        <f aca="false">B32*Supuestos!$C$10</f>
        <v>22560.7090095247</v>
      </c>
      <c r="E32" s="29" t="n">
        <f aca="false">D32*12</f>
        <v>270728.508114297</v>
      </c>
      <c r="F32" s="29" t="n">
        <f aca="false">C32*Supuestos!$C$11</f>
        <v>2400</v>
      </c>
      <c r="G32" s="29" t="n">
        <f aca="false">B32*Supuestos!$C$12</f>
        <v>2302.11316423722</v>
      </c>
      <c r="H32" s="30" t="n">
        <f aca="false">Supuestos!$C$13</f>
        <v>3000</v>
      </c>
      <c r="I32" s="29" t="n">
        <f aca="false">D32-G32</f>
        <v>20258.5958452875</v>
      </c>
      <c r="J32" s="29" t="n">
        <f aca="false">I32-H32</f>
        <v>17258.5958452875</v>
      </c>
      <c r="K32" s="29" t="n">
        <f aca="false">J32-F32</f>
        <v>14858.5958452875</v>
      </c>
    </row>
    <row r="33" customFormat="false" ht="15" hidden="false" customHeight="false" outlineLevel="0" collapsed="false">
      <c r="A33" s="21" t="n">
        <v>29</v>
      </c>
      <c r="B33" s="22" t="n">
        <f aca="false">B32*(1-Supuestos!$C$9)+Supuestos!$C$8</f>
        <v>471.214180190495</v>
      </c>
      <c r="C33" s="23" t="n">
        <f aca="false">Supuestos!$C$8</f>
        <v>20</v>
      </c>
      <c r="D33" s="24" t="n">
        <f aca="false">B33*Supuestos!$C$10</f>
        <v>23089.4948293342</v>
      </c>
      <c r="E33" s="24" t="n">
        <f aca="false">D33*12</f>
        <v>277073.937952011</v>
      </c>
      <c r="F33" s="24" t="n">
        <f aca="false">C33*Supuestos!$C$11</f>
        <v>2400</v>
      </c>
      <c r="G33" s="24" t="n">
        <f aca="false">B33*Supuestos!$C$12</f>
        <v>2356.07090095247</v>
      </c>
      <c r="H33" s="25" t="n">
        <f aca="false">Supuestos!$C$13</f>
        <v>3000</v>
      </c>
      <c r="I33" s="24" t="n">
        <f aca="false">D33-G33</f>
        <v>20733.4239283818</v>
      </c>
      <c r="J33" s="24" t="n">
        <f aca="false">I33-H33</f>
        <v>17733.4239283818</v>
      </c>
      <c r="K33" s="24" t="n">
        <f aca="false">J33-F33</f>
        <v>15333.4239283818</v>
      </c>
    </row>
    <row r="34" customFormat="false" ht="15" hidden="false" customHeight="false" outlineLevel="0" collapsed="false">
      <c r="A34" s="26" t="n">
        <v>30</v>
      </c>
      <c r="B34" s="27" t="n">
        <f aca="false">B33*(1-Supuestos!$C$9)+Supuestos!$C$8</f>
        <v>481.789896586685</v>
      </c>
      <c r="C34" s="28" t="n">
        <f aca="false">Supuestos!$C$8</f>
        <v>20</v>
      </c>
      <c r="D34" s="29" t="n">
        <f aca="false">B34*Supuestos!$C$10</f>
        <v>23607.7049327475</v>
      </c>
      <c r="E34" s="29" t="n">
        <f aca="false">D34*12</f>
        <v>283292.459192971</v>
      </c>
      <c r="F34" s="29" t="n">
        <f aca="false">C34*Supuestos!$C$11</f>
        <v>2400</v>
      </c>
      <c r="G34" s="29" t="n">
        <f aca="false">B34*Supuestos!$C$12</f>
        <v>2408.94948293342</v>
      </c>
      <c r="H34" s="30" t="n">
        <f aca="false">Supuestos!$C$13</f>
        <v>3000</v>
      </c>
      <c r="I34" s="29" t="n">
        <f aca="false">D34-G34</f>
        <v>21198.7554498141</v>
      </c>
      <c r="J34" s="29" t="n">
        <f aca="false">I34-H34</f>
        <v>18198.7554498141</v>
      </c>
      <c r="K34" s="29" t="n">
        <f aca="false">J34-F34</f>
        <v>15798.7554498141</v>
      </c>
    </row>
    <row r="35" customFormat="false" ht="15" hidden="false" customHeight="false" outlineLevel="0" collapsed="false">
      <c r="A35" s="21" t="n">
        <v>31</v>
      </c>
      <c r="B35" s="22" t="n">
        <f aca="false">B34*(1-Supuestos!$C$9)+Supuestos!$C$8</f>
        <v>492.154098654951</v>
      </c>
      <c r="C35" s="23" t="n">
        <f aca="false">Supuestos!$C$8</f>
        <v>20</v>
      </c>
      <c r="D35" s="24" t="n">
        <f aca="false">B35*Supuestos!$C$10</f>
        <v>24115.5508340926</v>
      </c>
      <c r="E35" s="24" t="n">
        <f aca="false">D35*12</f>
        <v>289386.610009111</v>
      </c>
      <c r="F35" s="24" t="n">
        <f aca="false">C35*Supuestos!$C$11</f>
        <v>2400</v>
      </c>
      <c r="G35" s="24" t="n">
        <f aca="false">B35*Supuestos!$C$12</f>
        <v>2460.77049327475</v>
      </c>
      <c r="H35" s="25" t="n">
        <f aca="false">Supuestos!$C$13</f>
        <v>3000</v>
      </c>
      <c r="I35" s="24" t="n">
        <f aca="false">D35-G35</f>
        <v>21654.7803408178</v>
      </c>
      <c r="J35" s="24" t="n">
        <f aca="false">I35-H35</f>
        <v>18654.7803408178</v>
      </c>
      <c r="K35" s="24" t="n">
        <f aca="false">J35-F35</f>
        <v>16254.7803408178</v>
      </c>
    </row>
    <row r="36" customFormat="false" ht="15" hidden="false" customHeight="false" outlineLevel="0" collapsed="false">
      <c r="A36" s="26" t="n">
        <v>32</v>
      </c>
      <c r="B36" s="27" t="n">
        <f aca="false">B35*(1-Supuestos!$C$9)+Supuestos!$C$8</f>
        <v>502.311016681852</v>
      </c>
      <c r="C36" s="28" t="n">
        <f aca="false">Supuestos!$C$8</f>
        <v>20</v>
      </c>
      <c r="D36" s="29" t="n">
        <f aca="false">B36*Supuestos!$C$10</f>
        <v>24613.2398174107</v>
      </c>
      <c r="E36" s="29" t="n">
        <f aca="false">D36*12</f>
        <v>295358.877808929</v>
      </c>
      <c r="F36" s="29" t="n">
        <f aca="false">C36*Supuestos!$C$11</f>
        <v>2400</v>
      </c>
      <c r="G36" s="29" t="n">
        <f aca="false">B36*Supuestos!$C$12</f>
        <v>2511.55508340926</v>
      </c>
      <c r="H36" s="30" t="n">
        <f aca="false">Supuestos!$C$13</f>
        <v>3000</v>
      </c>
      <c r="I36" s="29" t="n">
        <f aca="false">D36-G36</f>
        <v>22101.6847340015</v>
      </c>
      <c r="J36" s="29" t="n">
        <f aca="false">I36-H36</f>
        <v>19101.6847340015</v>
      </c>
      <c r="K36" s="29" t="n">
        <f aca="false">J36-F36</f>
        <v>16701.6847340015</v>
      </c>
    </row>
    <row r="37" customFormat="false" ht="15" hidden="false" customHeight="false" outlineLevel="0" collapsed="false">
      <c r="A37" s="21" t="n">
        <v>33</v>
      </c>
      <c r="B37" s="22" t="n">
        <f aca="false">B36*(1-Supuestos!$C$9)+Supuestos!$C$8</f>
        <v>512.264796348215</v>
      </c>
      <c r="C37" s="23" t="n">
        <f aca="false">Supuestos!$C$8</f>
        <v>20</v>
      </c>
      <c r="D37" s="24" t="n">
        <f aca="false">B37*Supuestos!$C$10</f>
        <v>25100.9750210625</v>
      </c>
      <c r="E37" s="24" t="n">
        <f aca="false">D37*12</f>
        <v>301211.70025275</v>
      </c>
      <c r="F37" s="24" t="n">
        <f aca="false">C37*Supuestos!$C$11</f>
        <v>2400</v>
      </c>
      <c r="G37" s="24" t="n">
        <f aca="false">B37*Supuestos!$C$12</f>
        <v>2561.32398174107</v>
      </c>
      <c r="H37" s="25" t="n">
        <f aca="false">Supuestos!$C$13</f>
        <v>3000</v>
      </c>
      <c r="I37" s="24" t="n">
        <f aca="false">D37-G37</f>
        <v>22539.6510393215</v>
      </c>
      <c r="J37" s="24" t="n">
        <f aca="false">I37-H37</f>
        <v>19539.6510393215</v>
      </c>
      <c r="K37" s="24" t="n">
        <f aca="false">J37-F37</f>
        <v>17139.6510393215</v>
      </c>
    </row>
    <row r="38" customFormat="false" ht="15" hidden="false" customHeight="false" outlineLevel="0" collapsed="false">
      <c r="A38" s="26" t="n">
        <v>34</v>
      </c>
      <c r="B38" s="27" t="n">
        <f aca="false">B37*(1-Supuestos!$C$9)+Supuestos!$C$8</f>
        <v>522.019500421251</v>
      </c>
      <c r="C38" s="28" t="n">
        <f aca="false">Supuestos!$C$8</f>
        <v>20</v>
      </c>
      <c r="D38" s="29" t="n">
        <f aca="false">B38*Supuestos!$C$10</f>
        <v>25578.9555206413</v>
      </c>
      <c r="E38" s="29" t="n">
        <f aca="false">D38*12</f>
        <v>306947.466247695</v>
      </c>
      <c r="F38" s="29" t="n">
        <f aca="false">C38*Supuestos!$C$11</f>
        <v>2400</v>
      </c>
      <c r="G38" s="29" t="n">
        <f aca="false">B38*Supuestos!$C$12</f>
        <v>2610.09750210625</v>
      </c>
      <c r="H38" s="30" t="n">
        <f aca="false">Supuestos!$C$13</f>
        <v>3000</v>
      </c>
      <c r="I38" s="29" t="n">
        <f aca="false">D38-G38</f>
        <v>22968.858018535</v>
      </c>
      <c r="J38" s="29" t="n">
        <f aca="false">I38-H38</f>
        <v>19968.858018535</v>
      </c>
      <c r="K38" s="29" t="n">
        <f aca="false">J38-F38</f>
        <v>17568.858018535</v>
      </c>
    </row>
    <row r="39" customFormat="false" ht="15" hidden="false" customHeight="false" outlineLevel="0" collapsed="false">
      <c r="A39" s="21" t="n">
        <v>35</v>
      </c>
      <c r="B39" s="22" t="n">
        <f aca="false">B38*(1-Supuestos!$C$9)+Supuestos!$C$8</f>
        <v>531.579110412826</v>
      </c>
      <c r="C39" s="23" t="n">
        <f aca="false">Supuestos!$C$8</f>
        <v>20</v>
      </c>
      <c r="D39" s="24" t="n">
        <f aca="false">B39*Supuestos!$C$10</f>
        <v>26047.3764102284</v>
      </c>
      <c r="E39" s="24" t="n">
        <f aca="false">D39*12</f>
        <v>312568.516922741</v>
      </c>
      <c r="F39" s="24" t="n">
        <f aca="false">C39*Supuestos!$C$11</f>
        <v>2400</v>
      </c>
      <c r="G39" s="24" t="n">
        <f aca="false">B39*Supuestos!$C$12</f>
        <v>2657.89555206413</v>
      </c>
      <c r="H39" s="25" t="n">
        <f aca="false">Supuestos!$C$13</f>
        <v>3000</v>
      </c>
      <c r="I39" s="24" t="n">
        <f aca="false">D39-G39</f>
        <v>23389.4808581643</v>
      </c>
      <c r="J39" s="24" t="n">
        <f aca="false">I39-H39</f>
        <v>20389.4808581643</v>
      </c>
      <c r="K39" s="24" t="n">
        <f aca="false">J39-F39</f>
        <v>17989.4808581643</v>
      </c>
    </row>
    <row r="40" customFormat="false" ht="15" hidden="false" customHeight="false" outlineLevel="0" collapsed="false">
      <c r="A40" s="26" t="n">
        <v>36</v>
      </c>
      <c r="B40" s="27" t="n">
        <f aca="false">B39*(1-Supuestos!$C$9)+Supuestos!$C$8</f>
        <v>540.947528204569</v>
      </c>
      <c r="C40" s="28" t="n">
        <f aca="false">Supuestos!$C$8</f>
        <v>20</v>
      </c>
      <c r="D40" s="29" t="n">
        <f aca="false">B40*Supuestos!$C$10</f>
        <v>26506.4288820239</v>
      </c>
      <c r="E40" s="29" t="n">
        <f aca="false">D40*12</f>
        <v>318077.146584287</v>
      </c>
      <c r="F40" s="29" t="n">
        <f aca="false">C40*Supuestos!$C$11</f>
        <v>2400</v>
      </c>
      <c r="G40" s="29" t="n">
        <f aca="false">B40*Supuestos!$C$12</f>
        <v>2704.73764102284</v>
      </c>
      <c r="H40" s="30" t="n">
        <f aca="false">Supuestos!$C$13</f>
        <v>3000</v>
      </c>
      <c r="I40" s="29" t="n">
        <f aca="false">D40-G40</f>
        <v>23801.691241001</v>
      </c>
      <c r="J40" s="29" t="n">
        <f aca="false">I40-H40</f>
        <v>20801.691241001</v>
      </c>
      <c r="K40" s="29" t="n">
        <f aca="false">J40-F40</f>
        <v>18401.691241001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5"/>
    <col collapsed="false" customWidth="true" hidden="false" outlineLevel="0" max="4" min="3" style="1" width="13"/>
    <col collapsed="false" customWidth="true" hidden="false" outlineLevel="0" max="5" min="5" style="1" width="16"/>
    <col collapsed="false" customWidth="true" hidden="false" outlineLevel="0" max="6" min="6" style="1" width="13"/>
    <col collapsed="false" customWidth="true" hidden="false" outlineLevel="0" max="7" min="7" style="1" width="14"/>
    <col collapsed="false" customWidth="true" hidden="false" outlineLevel="0" max="8" min="8" style="1" width="13"/>
    <col collapsed="false" customWidth="true" hidden="false" outlineLevel="0" max="9" min="9" style="1" width="15"/>
    <col collapsed="false" customWidth="true" hidden="false" outlineLevel="0" max="10" min="10" style="1" width="17"/>
    <col collapsed="false" customWidth="true" hidden="false" outlineLevel="0" max="11" min="11" style="1" width="15"/>
  </cols>
  <sheetData>
    <row r="1" customFormat="false" ht="19.7" hidden="false" customHeight="false" outlineLevel="0" collapsed="false">
      <c r="A1" s="2" t="s">
        <v>59</v>
      </c>
    </row>
    <row r="2" customFormat="false" ht="15" hidden="false" customHeight="false" outlineLevel="0" collapsed="false">
      <c r="A2" s="11" t="s">
        <v>44</v>
      </c>
    </row>
    <row r="3" customFormat="false" ht="15" hidden="false" customHeight="false" outlineLevel="0" collapsed="false">
      <c r="A3" s="20" t="s">
        <v>60</v>
      </c>
    </row>
    <row r="4" customFormat="false" ht="30" hidden="false" customHeight="true" outlineLevel="0" collapsed="false">
      <c r="A4" s="13" t="s">
        <v>46</v>
      </c>
      <c r="B4" s="13" t="s">
        <v>47</v>
      </c>
      <c r="C4" s="13" t="s">
        <v>48</v>
      </c>
      <c r="D4" s="13" t="s">
        <v>49</v>
      </c>
      <c r="E4" s="13" t="s">
        <v>50</v>
      </c>
      <c r="F4" s="13" t="s">
        <v>51</v>
      </c>
      <c r="G4" s="13" t="s">
        <v>52</v>
      </c>
      <c r="H4" s="13" t="s">
        <v>53</v>
      </c>
      <c r="I4" s="13" t="s">
        <v>54</v>
      </c>
      <c r="J4" s="13" t="s">
        <v>55</v>
      </c>
      <c r="K4" s="13" t="s">
        <v>56</v>
      </c>
    </row>
    <row r="5" customFormat="false" ht="15" hidden="false" customHeight="false" outlineLevel="0" collapsed="false">
      <c r="A5" s="21" t="n">
        <v>1</v>
      </c>
      <c r="B5" s="22" t="n">
        <f aca="false">Supuestos!$D$7*(1-Supuestos!$D$9)+Supuestos!$D$8</f>
        <v>94.25</v>
      </c>
      <c r="C5" s="23" t="n">
        <f aca="false">Supuestos!$D$8</f>
        <v>45</v>
      </c>
      <c r="D5" s="24" t="n">
        <f aca="false">B5*Supuestos!$D$10</f>
        <v>5655</v>
      </c>
      <c r="E5" s="24" t="n">
        <f aca="false">D5*12</f>
        <v>67860</v>
      </c>
      <c r="F5" s="24" t="n">
        <f aca="false">C5*Supuestos!$D$11</f>
        <v>4275</v>
      </c>
      <c r="G5" s="24" t="n">
        <f aca="false">B5*Supuestos!$D$12</f>
        <v>471.25</v>
      </c>
      <c r="H5" s="25" t="n">
        <f aca="false">Supuestos!$D$13</f>
        <v>3000</v>
      </c>
      <c r="I5" s="24" t="n">
        <f aca="false">D5-G5</f>
        <v>5183.75</v>
      </c>
      <c r="J5" s="24" t="n">
        <f aca="false">I5-H5</f>
        <v>2183.75</v>
      </c>
      <c r="K5" s="24" t="n">
        <f aca="false">J5-F5</f>
        <v>-2091.25</v>
      </c>
    </row>
    <row r="6" customFormat="false" ht="15" hidden="false" customHeight="false" outlineLevel="0" collapsed="false">
      <c r="A6" s="26" t="n">
        <v>2</v>
      </c>
      <c r="B6" s="27" t="n">
        <f aca="false">B5*(1-Supuestos!$D$9)+Supuestos!$D$8</f>
        <v>137.83625</v>
      </c>
      <c r="C6" s="28" t="n">
        <f aca="false">Supuestos!$D$8</f>
        <v>45</v>
      </c>
      <c r="D6" s="29" t="n">
        <f aca="false">B6*Supuestos!$D$10</f>
        <v>8270.175</v>
      </c>
      <c r="E6" s="29" t="n">
        <f aca="false">D6*12</f>
        <v>99242.1</v>
      </c>
      <c r="F6" s="29" t="n">
        <f aca="false">C6*Supuestos!$D$11</f>
        <v>4275</v>
      </c>
      <c r="G6" s="29" t="n">
        <f aca="false">B6*Supuestos!$D$12</f>
        <v>689.18125</v>
      </c>
      <c r="H6" s="30" t="n">
        <f aca="false">Supuestos!$D$13</f>
        <v>3000</v>
      </c>
      <c r="I6" s="29" t="n">
        <f aca="false">D6-G6</f>
        <v>7580.99375</v>
      </c>
      <c r="J6" s="29" t="n">
        <f aca="false">I6-H6</f>
        <v>4580.99375</v>
      </c>
      <c r="K6" s="29" t="n">
        <f aca="false">J6-F6</f>
        <v>305.993750000001</v>
      </c>
    </row>
    <row r="7" customFormat="false" ht="15" hidden="false" customHeight="false" outlineLevel="0" collapsed="false">
      <c r="A7" s="21" t="n">
        <v>3</v>
      </c>
      <c r="B7" s="22" t="n">
        <f aca="false">B6*(1-Supuestos!$D$9)+Supuestos!$D$8</f>
        <v>180.76870625</v>
      </c>
      <c r="C7" s="23" t="n">
        <f aca="false">Supuestos!$D$8</f>
        <v>45</v>
      </c>
      <c r="D7" s="24" t="n">
        <f aca="false">B7*Supuestos!$D$10</f>
        <v>10846.122375</v>
      </c>
      <c r="E7" s="24" t="n">
        <f aca="false">D7*12</f>
        <v>130153.4685</v>
      </c>
      <c r="F7" s="24" t="n">
        <f aca="false">C7*Supuestos!$D$11</f>
        <v>4275</v>
      </c>
      <c r="G7" s="24" t="n">
        <f aca="false">B7*Supuestos!$D$12</f>
        <v>903.84353125</v>
      </c>
      <c r="H7" s="25" t="n">
        <f aca="false">Supuestos!$D$13</f>
        <v>3000</v>
      </c>
      <c r="I7" s="24" t="n">
        <f aca="false">D7-G7</f>
        <v>9942.27884375</v>
      </c>
      <c r="J7" s="24" t="n">
        <f aca="false">I7-H7</f>
        <v>6942.27884375</v>
      </c>
      <c r="K7" s="24" t="n">
        <f aca="false">J7-F7</f>
        <v>2667.27884375</v>
      </c>
    </row>
    <row r="8" customFormat="false" ht="15" hidden="false" customHeight="false" outlineLevel="0" collapsed="false">
      <c r="A8" s="26" t="n">
        <v>4</v>
      </c>
      <c r="B8" s="27" t="n">
        <f aca="false">B7*(1-Supuestos!$D$9)+Supuestos!$D$8</f>
        <v>223.05717565625</v>
      </c>
      <c r="C8" s="28" t="n">
        <f aca="false">Supuestos!$D$8</f>
        <v>45</v>
      </c>
      <c r="D8" s="29" t="n">
        <f aca="false">B8*Supuestos!$D$10</f>
        <v>13383.430539375</v>
      </c>
      <c r="E8" s="29" t="n">
        <f aca="false">D8*12</f>
        <v>160601.1664725</v>
      </c>
      <c r="F8" s="29" t="n">
        <f aca="false">C8*Supuestos!$D$11</f>
        <v>4275</v>
      </c>
      <c r="G8" s="29" t="n">
        <f aca="false">B8*Supuestos!$D$12</f>
        <v>1115.28587828125</v>
      </c>
      <c r="H8" s="30" t="n">
        <f aca="false">Supuestos!$D$13</f>
        <v>3000</v>
      </c>
      <c r="I8" s="29" t="n">
        <f aca="false">D8-G8</f>
        <v>12268.1446610938</v>
      </c>
      <c r="J8" s="29" t="n">
        <f aca="false">I8-H8</f>
        <v>9268.14466109375</v>
      </c>
      <c r="K8" s="29" t="n">
        <f aca="false">J8-F8</f>
        <v>4993.14466109375</v>
      </c>
    </row>
    <row r="9" customFormat="false" ht="15" hidden="false" customHeight="false" outlineLevel="0" collapsed="false">
      <c r="A9" s="21" t="n">
        <v>5</v>
      </c>
      <c r="B9" s="22" t="n">
        <f aca="false">B8*(1-Supuestos!$D$9)+Supuestos!$D$8</f>
        <v>264.711318021406</v>
      </c>
      <c r="C9" s="23" t="n">
        <f aca="false">Supuestos!$D$8</f>
        <v>45</v>
      </c>
      <c r="D9" s="24" t="n">
        <f aca="false">B9*Supuestos!$D$10</f>
        <v>15882.6790812844</v>
      </c>
      <c r="E9" s="24" t="n">
        <f aca="false">D9*12</f>
        <v>190592.148975412</v>
      </c>
      <c r="F9" s="24" t="n">
        <f aca="false">C9*Supuestos!$D$11</f>
        <v>4275</v>
      </c>
      <c r="G9" s="24" t="n">
        <f aca="false">B9*Supuestos!$D$12</f>
        <v>1323.55659010703</v>
      </c>
      <c r="H9" s="25" t="n">
        <f aca="false">Supuestos!$D$13</f>
        <v>3000</v>
      </c>
      <c r="I9" s="24" t="n">
        <f aca="false">D9-G9</f>
        <v>14559.1224911773</v>
      </c>
      <c r="J9" s="24" t="n">
        <f aca="false">I9-H9</f>
        <v>11559.1224911773</v>
      </c>
      <c r="K9" s="24" t="n">
        <f aca="false">J9-F9</f>
        <v>7284.12249117734</v>
      </c>
    </row>
    <row r="10" customFormat="false" ht="15" hidden="false" customHeight="false" outlineLevel="0" collapsed="false">
      <c r="A10" s="26" t="n">
        <v>6</v>
      </c>
      <c r="B10" s="27" t="n">
        <f aca="false">B9*(1-Supuestos!$D$9)+Supuestos!$D$8</f>
        <v>305.740648251085</v>
      </c>
      <c r="C10" s="28" t="n">
        <f aca="false">Supuestos!$D$8</f>
        <v>45</v>
      </c>
      <c r="D10" s="29" t="n">
        <f aca="false">B10*Supuestos!$D$10</f>
        <v>18344.4388950651</v>
      </c>
      <c r="E10" s="29" t="n">
        <f aca="false">D10*12</f>
        <v>220133.266740781</v>
      </c>
      <c r="F10" s="29" t="n">
        <f aca="false">C10*Supuestos!$D$11</f>
        <v>4275</v>
      </c>
      <c r="G10" s="29" t="n">
        <f aca="false">B10*Supuestos!$D$12</f>
        <v>1528.70324125543</v>
      </c>
      <c r="H10" s="30" t="n">
        <f aca="false">Supuestos!$D$13</f>
        <v>3000</v>
      </c>
      <c r="I10" s="29" t="n">
        <f aca="false">D10-G10</f>
        <v>16815.7356538097</v>
      </c>
      <c r="J10" s="29" t="n">
        <f aca="false">I10-H10</f>
        <v>13815.7356538097</v>
      </c>
      <c r="K10" s="29" t="n">
        <f aca="false">J10-F10</f>
        <v>9540.73565380968</v>
      </c>
    </row>
    <row r="11" customFormat="false" ht="15" hidden="false" customHeight="false" outlineLevel="0" collapsed="false">
      <c r="A11" s="21" t="n">
        <v>7</v>
      </c>
      <c r="B11" s="22" t="n">
        <f aca="false">B10*(1-Supuestos!$D$9)+Supuestos!$D$8</f>
        <v>346.154538527319</v>
      </c>
      <c r="C11" s="23" t="n">
        <f aca="false">Supuestos!$D$8</f>
        <v>45</v>
      </c>
      <c r="D11" s="24" t="n">
        <f aca="false">B11*Supuestos!$D$10</f>
        <v>20769.2723116391</v>
      </c>
      <c r="E11" s="24" t="n">
        <f aca="false">D11*12</f>
        <v>249231.26773967</v>
      </c>
      <c r="F11" s="24" t="n">
        <f aca="false">C11*Supuestos!$D$11</f>
        <v>4275</v>
      </c>
      <c r="G11" s="24" t="n">
        <f aca="false">B11*Supuestos!$D$12</f>
        <v>1730.77269263659</v>
      </c>
      <c r="H11" s="25" t="n">
        <f aca="false">Supuestos!$D$13</f>
        <v>3000</v>
      </c>
      <c r="I11" s="24" t="n">
        <f aca="false">D11-G11</f>
        <v>19038.4996190025</v>
      </c>
      <c r="J11" s="24" t="n">
        <f aca="false">I11-H11</f>
        <v>16038.4996190025</v>
      </c>
      <c r="K11" s="24" t="n">
        <f aca="false">J11-F11</f>
        <v>11763.4996190025</v>
      </c>
    </row>
    <row r="12" customFormat="false" ht="15" hidden="false" customHeight="false" outlineLevel="0" collapsed="false">
      <c r="A12" s="26" t="n">
        <v>8</v>
      </c>
      <c r="B12" s="27" t="n">
        <f aca="false">B11*(1-Supuestos!$D$9)+Supuestos!$D$8</f>
        <v>385.962220449409</v>
      </c>
      <c r="C12" s="28" t="n">
        <f aca="false">Supuestos!$D$8</f>
        <v>45</v>
      </c>
      <c r="D12" s="29" t="n">
        <f aca="false">B12*Supuestos!$D$10</f>
        <v>23157.7332269645</v>
      </c>
      <c r="E12" s="29" t="n">
        <f aca="false">D12*12</f>
        <v>277892.798723575</v>
      </c>
      <c r="F12" s="29" t="n">
        <f aca="false">C12*Supuestos!$D$11</f>
        <v>4275</v>
      </c>
      <c r="G12" s="29" t="n">
        <f aca="false">B12*Supuestos!$D$12</f>
        <v>1929.81110224705</v>
      </c>
      <c r="H12" s="30" t="n">
        <f aca="false">Supuestos!$D$13</f>
        <v>3000</v>
      </c>
      <c r="I12" s="29" t="n">
        <f aca="false">D12-G12</f>
        <v>21227.9221247175</v>
      </c>
      <c r="J12" s="29" t="n">
        <f aca="false">I12-H12</f>
        <v>18227.9221247175</v>
      </c>
      <c r="K12" s="29" t="n">
        <f aca="false">J12-F12</f>
        <v>13952.9221247175</v>
      </c>
    </row>
    <row r="13" customFormat="false" ht="15" hidden="false" customHeight="false" outlineLevel="0" collapsed="false">
      <c r="A13" s="21" t="n">
        <v>9</v>
      </c>
      <c r="B13" s="22" t="n">
        <f aca="false">B12*(1-Supuestos!$D$9)+Supuestos!$D$8</f>
        <v>425.172787142668</v>
      </c>
      <c r="C13" s="23" t="n">
        <f aca="false">Supuestos!$D$8</f>
        <v>45</v>
      </c>
      <c r="D13" s="24" t="n">
        <f aca="false">B13*Supuestos!$D$10</f>
        <v>25510.3672285601</v>
      </c>
      <c r="E13" s="24" t="n">
        <f aca="false">D13*12</f>
        <v>306124.406742721</v>
      </c>
      <c r="F13" s="24" t="n">
        <f aca="false">C13*Supuestos!$D$11</f>
        <v>4275</v>
      </c>
      <c r="G13" s="24" t="n">
        <f aca="false">B13*Supuestos!$D$12</f>
        <v>2125.86393571334</v>
      </c>
      <c r="H13" s="25" t="n">
        <f aca="false">Supuestos!$D$13</f>
        <v>3000</v>
      </c>
      <c r="I13" s="24" t="n">
        <f aca="false">D13-G13</f>
        <v>23384.5032928467</v>
      </c>
      <c r="J13" s="24" t="n">
        <f aca="false">I13-H13</f>
        <v>20384.5032928467</v>
      </c>
      <c r="K13" s="24" t="n">
        <f aca="false">J13-F13</f>
        <v>16109.5032928467</v>
      </c>
    </row>
    <row r="14" customFormat="false" ht="15" hidden="false" customHeight="false" outlineLevel="0" collapsed="false">
      <c r="A14" s="26" t="n">
        <v>10</v>
      </c>
      <c r="B14" s="27" t="n">
        <f aca="false">B13*(1-Supuestos!$D$9)+Supuestos!$D$8</f>
        <v>463.795195335528</v>
      </c>
      <c r="C14" s="28" t="n">
        <f aca="false">Supuestos!$D$8</f>
        <v>45</v>
      </c>
      <c r="D14" s="29" t="n">
        <f aca="false">B14*Supuestos!$D$10</f>
        <v>27827.7117201317</v>
      </c>
      <c r="E14" s="29" t="n">
        <f aca="false">D14*12</f>
        <v>333932.54064158</v>
      </c>
      <c r="F14" s="29" t="n">
        <f aca="false">C14*Supuestos!$D$11</f>
        <v>4275</v>
      </c>
      <c r="G14" s="29" t="n">
        <f aca="false">B14*Supuestos!$D$12</f>
        <v>2318.97597667764</v>
      </c>
      <c r="H14" s="30" t="n">
        <f aca="false">Supuestos!$D$13</f>
        <v>3000</v>
      </c>
      <c r="I14" s="29" t="n">
        <f aca="false">D14-G14</f>
        <v>25508.735743454</v>
      </c>
      <c r="J14" s="29" t="n">
        <f aca="false">I14-H14</f>
        <v>22508.735743454</v>
      </c>
      <c r="K14" s="29" t="n">
        <f aca="false">J14-F14</f>
        <v>18233.735743454</v>
      </c>
    </row>
    <row r="15" customFormat="false" ht="15" hidden="false" customHeight="false" outlineLevel="0" collapsed="false">
      <c r="A15" s="21" t="n">
        <v>11</v>
      </c>
      <c r="B15" s="22" t="n">
        <f aca="false">B14*(1-Supuestos!$D$9)+Supuestos!$D$8</f>
        <v>501.838267405495</v>
      </c>
      <c r="C15" s="23" t="n">
        <f aca="false">Supuestos!$D$8</f>
        <v>45</v>
      </c>
      <c r="D15" s="24" t="n">
        <f aca="false">B15*Supuestos!$D$10</f>
        <v>30110.2960443297</v>
      </c>
      <c r="E15" s="24" t="n">
        <f aca="false">D15*12</f>
        <v>361323.552531956</v>
      </c>
      <c r="F15" s="24" t="n">
        <f aca="false">C15*Supuestos!$D$11</f>
        <v>4275</v>
      </c>
      <c r="G15" s="24" t="n">
        <f aca="false">B15*Supuestos!$D$12</f>
        <v>2509.19133702747</v>
      </c>
      <c r="H15" s="25" t="n">
        <f aca="false">Supuestos!$D$13</f>
        <v>3000</v>
      </c>
      <c r="I15" s="24" t="n">
        <f aca="false">D15-G15</f>
        <v>27601.1047073022</v>
      </c>
      <c r="J15" s="24" t="n">
        <f aca="false">I15-H15</f>
        <v>24601.1047073022</v>
      </c>
      <c r="K15" s="24" t="n">
        <f aca="false">J15-F15</f>
        <v>20326.1047073022</v>
      </c>
    </row>
    <row r="16" customFormat="false" ht="15" hidden="false" customHeight="false" outlineLevel="0" collapsed="false">
      <c r="A16" s="26" t="n">
        <v>12</v>
      </c>
      <c r="B16" s="27" t="n">
        <f aca="false">B15*(1-Supuestos!$D$9)+Supuestos!$D$8</f>
        <v>539.310693394413</v>
      </c>
      <c r="C16" s="28" t="n">
        <f aca="false">Supuestos!$D$8</f>
        <v>45</v>
      </c>
      <c r="D16" s="29" t="n">
        <f aca="false">B16*Supuestos!$D$10</f>
        <v>32358.6416036648</v>
      </c>
      <c r="E16" s="29" t="n">
        <f aca="false">D16*12</f>
        <v>388303.699243977</v>
      </c>
      <c r="F16" s="29" t="n">
        <f aca="false">C16*Supuestos!$D$11</f>
        <v>4275</v>
      </c>
      <c r="G16" s="29" t="n">
        <f aca="false">B16*Supuestos!$D$12</f>
        <v>2696.55346697206</v>
      </c>
      <c r="H16" s="30" t="n">
        <f aca="false">Supuestos!$D$13</f>
        <v>3000</v>
      </c>
      <c r="I16" s="29" t="n">
        <f aca="false">D16-G16</f>
        <v>29662.0881366927</v>
      </c>
      <c r="J16" s="29" t="n">
        <f aca="false">I16-H16</f>
        <v>26662.0881366927</v>
      </c>
      <c r="K16" s="29" t="n">
        <f aca="false">J16-F16</f>
        <v>22387.0881366927</v>
      </c>
    </row>
    <row r="17" customFormat="false" ht="15" hidden="false" customHeight="false" outlineLevel="0" collapsed="false">
      <c r="A17" s="21" t="n">
        <v>13</v>
      </c>
      <c r="B17" s="22" t="n">
        <f aca="false">B16*(1-Supuestos!$D$9)+Supuestos!$D$8</f>
        <v>576.221032993496</v>
      </c>
      <c r="C17" s="23" t="n">
        <f aca="false">Supuestos!$D$8</f>
        <v>45</v>
      </c>
      <c r="D17" s="24" t="n">
        <f aca="false">B17*Supuestos!$D$10</f>
        <v>34573.2619796098</v>
      </c>
      <c r="E17" s="24" t="n">
        <f aca="false">D17*12</f>
        <v>414879.143755317</v>
      </c>
      <c r="F17" s="24" t="n">
        <f aca="false">C17*Supuestos!$D$11</f>
        <v>4275</v>
      </c>
      <c r="G17" s="24" t="n">
        <f aca="false">B17*Supuestos!$D$12</f>
        <v>2881.10516496748</v>
      </c>
      <c r="H17" s="25" t="n">
        <f aca="false">Supuestos!$D$13</f>
        <v>3000</v>
      </c>
      <c r="I17" s="24" t="n">
        <f aca="false">D17-G17</f>
        <v>31692.1568146423</v>
      </c>
      <c r="J17" s="24" t="n">
        <f aca="false">I17-H17</f>
        <v>28692.1568146423</v>
      </c>
      <c r="K17" s="24" t="n">
        <f aca="false">J17-F17</f>
        <v>24417.1568146423</v>
      </c>
    </row>
    <row r="18" customFormat="false" ht="15" hidden="false" customHeight="false" outlineLevel="0" collapsed="false">
      <c r="A18" s="26" t="n">
        <v>14</v>
      </c>
      <c r="B18" s="27" t="n">
        <f aca="false">B17*(1-Supuestos!$D$9)+Supuestos!$D$8</f>
        <v>612.577717498594</v>
      </c>
      <c r="C18" s="28" t="n">
        <f aca="false">Supuestos!$D$8</f>
        <v>45</v>
      </c>
      <c r="D18" s="29" t="n">
        <f aca="false">B18*Supuestos!$D$10</f>
        <v>36754.6630499156</v>
      </c>
      <c r="E18" s="29" t="n">
        <f aca="false">D18*12</f>
        <v>441055.956598988</v>
      </c>
      <c r="F18" s="29" t="n">
        <f aca="false">C18*Supuestos!$D$11</f>
        <v>4275</v>
      </c>
      <c r="G18" s="29" t="n">
        <f aca="false">B18*Supuestos!$D$12</f>
        <v>3062.88858749297</v>
      </c>
      <c r="H18" s="30" t="n">
        <f aca="false">Supuestos!$D$13</f>
        <v>3000</v>
      </c>
      <c r="I18" s="29" t="n">
        <f aca="false">D18-G18</f>
        <v>33691.7744624227</v>
      </c>
      <c r="J18" s="29" t="n">
        <f aca="false">I18-H18</f>
        <v>30691.7744624227</v>
      </c>
      <c r="K18" s="29" t="n">
        <f aca="false">J18-F18</f>
        <v>26416.7744624227</v>
      </c>
    </row>
    <row r="19" customFormat="false" ht="15" hidden="false" customHeight="false" outlineLevel="0" collapsed="false">
      <c r="A19" s="21" t="n">
        <v>15</v>
      </c>
      <c r="B19" s="22" t="n">
        <f aca="false">B18*(1-Supuestos!$D$9)+Supuestos!$D$8</f>
        <v>648.389051736115</v>
      </c>
      <c r="C19" s="23" t="n">
        <f aca="false">Supuestos!$D$8</f>
        <v>45</v>
      </c>
      <c r="D19" s="24" t="n">
        <f aca="false">B19*Supuestos!$D$10</f>
        <v>38903.3431041669</v>
      </c>
      <c r="E19" s="24" t="n">
        <f aca="false">D19*12</f>
        <v>466840.117250003</v>
      </c>
      <c r="F19" s="24" t="n">
        <f aca="false">C19*Supuestos!$D$11</f>
        <v>4275</v>
      </c>
      <c r="G19" s="24" t="n">
        <f aca="false">B19*Supuestos!$D$12</f>
        <v>3241.94525868058</v>
      </c>
      <c r="H19" s="25" t="n">
        <f aca="false">Supuestos!$D$13</f>
        <v>3000</v>
      </c>
      <c r="I19" s="24" t="n">
        <f aca="false">D19-G19</f>
        <v>35661.3978454863</v>
      </c>
      <c r="J19" s="24" t="n">
        <f aca="false">I19-H19</f>
        <v>32661.3978454863</v>
      </c>
      <c r="K19" s="24" t="n">
        <f aca="false">J19-F19</f>
        <v>28386.3978454863</v>
      </c>
    </row>
    <row r="20" customFormat="false" ht="15" hidden="false" customHeight="false" outlineLevel="0" collapsed="false">
      <c r="A20" s="26" t="n">
        <v>16</v>
      </c>
      <c r="B20" s="27" t="n">
        <f aca="false">B19*(1-Supuestos!$D$9)+Supuestos!$D$8</f>
        <v>683.663215960073</v>
      </c>
      <c r="C20" s="28" t="n">
        <f aca="false">Supuestos!$D$8</f>
        <v>45</v>
      </c>
      <c r="D20" s="29" t="n">
        <f aca="false">B20*Supuestos!$D$10</f>
        <v>41019.7929576044</v>
      </c>
      <c r="E20" s="29" t="n">
        <f aca="false">D20*12</f>
        <v>492237.515491253</v>
      </c>
      <c r="F20" s="29" t="n">
        <f aca="false">C20*Supuestos!$D$11</f>
        <v>4275</v>
      </c>
      <c r="G20" s="29" t="n">
        <f aca="false">B20*Supuestos!$D$12</f>
        <v>3418.31607980037</v>
      </c>
      <c r="H20" s="30" t="n">
        <f aca="false">Supuestos!$D$13</f>
        <v>3000</v>
      </c>
      <c r="I20" s="29" t="n">
        <f aca="false">D20-G20</f>
        <v>37601.476877804</v>
      </c>
      <c r="J20" s="29" t="n">
        <f aca="false">I20-H20</f>
        <v>34601.476877804</v>
      </c>
      <c r="K20" s="29" t="n">
        <f aca="false">J20-F20</f>
        <v>30326.476877804</v>
      </c>
    </row>
    <row r="21" customFormat="false" ht="15" hidden="false" customHeight="false" outlineLevel="0" collapsed="false">
      <c r="A21" s="21" t="n">
        <v>17</v>
      </c>
      <c r="B21" s="22" t="n">
        <f aca="false">B20*(1-Supuestos!$D$9)+Supuestos!$D$8</f>
        <v>718.408267720672</v>
      </c>
      <c r="C21" s="23" t="n">
        <f aca="false">Supuestos!$D$8</f>
        <v>45</v>
      </c>
      <c r="D21" s="24" t="n">
        <f aca="false">B21*Supuestos!$D$10</f>
        <v>43104.4960632403</v>
      </c>
      <c r="E21" s="24" t="n">
        <f aca="false">D21*12</f>
        <v>517253.952758884</v>
      </c>
      <c r="F21" s="24" t="n">
        <f aca="false">C21*Supuestos!$D$11</f>
        <v>4275</v>
      </c>
      <c r="G21" s="24" t="n">
        <f aca="false">B21*Supuestos!$D$12</f>
        <v>3592.04133860336</v>
      </c>
      <c r="H21" s="25" t="n">
        <f aca="false">Supuestos!$D$13</f>
        <v>3000</v>
      </c>
      <c r="I21" s="24" t="n">
        <f aca="false">D21-G21</f>
        <v>39512.454724637</v>
      </c>
      <c r="J21" s="24" t="n">
        <f aca="false">I21-H21</f>
        <v>36512.454724637</v>
      </c>
      <c r="K21" s="24" t="n">
        <f aca="false">J21-F21</f>
        <v>32237.454724637</v>
      </c>
    </row>
    <row r="22" customFormat="false" ht="15" hidden="false" customHeight="false" outlineLevel="0" collapsed="false">
      <c r="A22" s="26" t="n">
        <v>18</v>
      </c>
      <c r="B22" s="27" t="n">
        <f aca="false">B21*(1-Supuestos!$D$9)+Supuestos!$D$8</f>
        <v>752.632143704862</v>
      </c>
      <c r="C22" s="28" t="n">
        <f aca="false">Supuestos!$D$8</f>
        <v>45</v>
      </c>
      <c r="D22" s="29" t="n">
        <f aca="false">B22*Supuestos!$D$10</f>
        <v>45157.9286222917</v>
      </c>
      <c r="E22" s="29" t="n">
        <f aca="false">D22*12</f>
        <v>541895.143467501</v>
      </c>
      <c r="F22" s="29" t="n">
        <f aca="false">C22*Supuestos!$D$11</f>
        <v>4275</v>
      </c>
      <c r="G22" s="29" t="n">
        <f aca="false">B22*Supuestos!$D$12</f>
        <v>3763.16071852431</v>
      </c>
      <c r="H22" s="30" t="n">
        <f aca="false">Supuestos!$D$13</f>
        <v>3000</v>
      </c>
      <c r="I22" s="29" t="n">
        <f aca="false">D22-G22</f>
        <v>41394.7679037674</v>
      </c>
      <c r="J22" s="29" t="n">
        <f aca="false">I22-H22</f>
        <v>38394.7679037674</v>
      </c>
      <c r="K22" s="29" t="n">
        <f aca="false">J22-F22</f>
        <v>34119.7679037674</v>
      </c>
    </row>
    <row r="23" customFormat="false" ht="15" hidden="false" customHeight="false" outlineLevel="0" collapsed="false">
      <c r="A23" s="21" t="n">
        <v>19</v>
      </c>
      <c r="B23" s="22" t="n">
        <f aca="false">B22*(1-Supuestos!$D$9)+Supuestos!$D$8</f>
        <v>786.342661549289</v>
      </c>
      <c r="C23" s="23" t="n">
        <f aca="false">Supuestos!$D$8</f>
        <v>45</v>
      </c>
      <c r="D23" s="24" t="n">
        <f aca="false">B23*Supuestos!$D$10</f>
        <v>47180.5596929573</v>
      </c>
      <c r="E23" s="24" t="n">
        <f aca="false">D23*12</f>
        <v>566166.716315488</v>
      </c>
      <c r="F23" s="24" t="n">
        <f aca="false">C23*Supuestos!$D$11</f>
        <v>4275</v>
      </c>
      <c r="G23" s="24" t="n">
        <f aca="false">B23*Supuestos!$D$12</f>
        <v>3931.71330774645</v>
      </c>
      <c r="H23" s="25" t="n">
        <f aca="false">Supuestos!$D$13</f>
        <v>3000</v>
      </c>
      <c r="I23" s="24" t="n">
        <f aca="false">D23-G23</f>
        <v>43248.8463852109</v>
      </c>
      <c r="J23" s="24" t="n">
        <f aca="false">I23-H23</f>
        <v>40248.8463852109</v>
      </c>
      <c r="K23" s="24" t="n">
        <f aca="false">J23-F23</f>
        <v>35973.8463852109</v>
      </c>
    </row>
    <row r="24" customFormat="false" ht="15" hidden="false" customHeight="false" outlineLevel="0" collapsed="false">
      <c r="A24" s="26" t="n">
        <v>20</v>
      </c>
      <c r="B24" s="27" t="n">
        <f aca="false">B23*(1-Supuestos!$D$9)+Supuestos!$D$8</f>
        <v>819.54752162605</v>
      </c>
      <c r="C24" s="28" t="n">
        <f aca="false">Supuestos!$D$8</f>
        <v>45</v>
      </c>
      <c r="D24" s="29" t="n">
        <f aca="false">B24*Supuestos!$D$10</f>
        <v>49172.851297563</v>
      </c>
      <c r="E24" s="29" t="n">
        <f aca="false">D24*12</f>
        <v>590074.215570756</v>
      </c>
      <c r="F24" s="29" t="n">
        <f aca="false">C24*Supuestos!$D$11</f>
        <v>4275</v>
      </c>
      <c r="G24" s="29" t="n">
        <f aca="false">B24*Supuestos!$D$12</f>
        <v>4097.73760813025</v>
      </c>
      <c r="H24" s="30" t="n">
        <f aca="false">Supuestos!$D$13</f>
        <v>3000</v>
      </c>
      <c r="I24" s="29" t="n">
        <f aca="false">D24-G24</f>
        <v>45075.1136894327</v>
      </c>
      <c r="J24" s="29" t="n">
        <f aca="false">I24-H24</f>
        <v>42075.1136894327</v>
      </c>
      <c r="K24" s="29" t="n">
        <f aca="false">J24-F24</f>
        <v>37800.1136894327</v>
      </c>
    </row>
    <row r="25" customFormat="false" ht="15" hidden="false" customHeight="false" outlineLevel="0" collapsed="false">
      <c r="A25" s="21" t="n">
        <v>21</v>
      </c>
      <c r="B25" s="22" t="n">
        <f aca="false">B24*(1-Supuestos!$D$9)+Supuestos!$D$8</f>
        <v>852.254308801659</v>
      </c>
      <c r="C25" s="23" t="n">
        <f aca="false">Supuestos!$D$8</f>
        <v>45</v>
      </c>
      <c r="D25" s="24" t="n">
        <f aca="false">B25*Supuestos!$D$10</f>
        <v>51135.2585280995</v>
      </c>
      <c r="E25" s="24" t="n">
        <f aca="false">D25*12</f>
        <v>613623.102337195</v>
      </c>
      <c r="F25" s="24" t="n">
        <f aca="false">C25*Supuestos!$D$11</f>
        <v>4275</v>
      </c>
      <c r="G25" s="24" t="n">
        <f aca="false">B25*Supuestos!$D$12</f>
        <v>4261.2715440083</v>
      </c>
      <c r="H25" s="25" t="n">
        <f aca="false">Supuestos!$D$13</f>
        <v>3000</v>
      </c>
      <c r="I25" s="24" t="n">
        <f aca="false">D25-G25</f>
        <v>46873.9869840912</v>
      </c>
      <c r="J25" s="24" t="n">
        <f aca="false">I25-H25</f>
        <v>43873.9869840912</v>
      </c>
      <c r="K25" s="24" t="n">
        <f aca="false">J25-F25</f>
        <v>39598.9869840912</v>
      </c>
    </row>
    <row r="26" customFormat="false" ht="15" hidden="false" customHeight="false" outlineLevel="0" collapsed="false">
      <c r="A26" s="26" t="n">
        <v>22</v>
      </c>
      <c r="B26" s="27" t="n">
        <f aca="false">B25*(1-Supuestos!$D$9)+Supuestos!$D$8</f>
        <v>884.470494169634</v>
      </c>
      <c r="C26" s="28" t="n">
        <f aca="false">Supuestos!$D$8</f>
        <v>45</v>
      </c>
      <c r="D26" s="29" t="n">
        <f aca="false">B26*Supuestos!$D$10</f>
        <v>53068.229650178</v>
      </c>
      <c r="E26" s="29" t="n">
        <f aca="false">D26*12</f>
        <v>636818.755802137</v>
      </c>
      <c r="F26" s="29" t="n">
        <f aca="false">C26*Supuestos!$D$11</f>
        <v>4275</v>
      </c>
      <c r="G26" s="29" t="n">
        <f aca="false">B26*Supuestos!$D$12</f>
        <v>4422.35247084817</v>
      </c>
      <c r="H26" s="30" t="n">
        <f aca="false">Supuestos!$D$13</f>
        <v>3000</v>
      </c>
      <c r="I26" s="29" t="n">
        <f aca="false">D26-G26</f>
        <v>48645.8771793299</v>
      </c>
      <c r="J26" s="29" t="n">
        <f aca="false">I26-H26</f>
        <v>45645.8771793299</v>
      </c>
      <c r="K26" s="29" t="n">
        <f aca="false">J26-F26</f>
        <v>41370.8771793299</v>
      </c>
    </row>
    <row r="27" customFormat="false" ht="15" hidden="false" customHeight="false" outlineLevel="0" collapsed="false">
      <c r="A27" s="21" t="n">
        <v>23</v>
      </c>
      <c r="B27" s="22" t="n">
        <f aca="false">B26*(1-Supuestos!$D$9)+Supuestos!$D$8</f>
        <v>916.20343675709</v>
      </c>
      <c r="C27" s="23" t="n">
        <f aca="false">Supuestos!$D$8</f>
        <v>45</v>
      </c>
      <c r="D27" s="24" t="n">
        <f aca="false">B27*Supuestos!$D$10</f>
        <v>54972.2062054254</v>
      </c>
      <c r="E27" s="24" t="n">
        <f aca="false">D27*12</f>
        <v>659666.474465105</v>
      </c>
      <c r="F27" s="24" t="n">
        <f aca="false">C27*Supuestos!$D$11</f>
        <v>4275</v>
      </c>
      <c r="G27" s="24" t="n">
        <f aca="false">B27*Supuestos!$D$12</f>
        <v>4581.01718378545</v>
      </c>
      <c r="H27" s="25" t="n">
        <f aca="false">Supuestos!$D$13</f>
        <v>3000</v>
      </c>
      <c r="I27" s="24" t="n">
        <f aca="false">D27-G27</f>
        <v>50391.1890216399</v>
      </c>
      <c r="J27" s="24" t="n">
        <f aca="false">I27-H27</f>
        <v>47391.1890216399</v>
      </c>
      <c r="K27" s="24" t="n">
        <f aca="false">J27-F27</f>
        <v>43116.1890216399</v>
      </c>
    </row>
    <row r="28" customFormat="false" ht="15" hidden="false" customHeight="false" outlineLevel="0" collapsed="false">
      <c r="A28" s="26" t="n">
        <v>24</v>
      </c>
      <c r="B28" s="27" t="n">
        <f aca="false">B27*(1-Supuestos!$D$9)+Supuestos!$D$8</f>
        <v>947.460385205733</v>
      </c>
      <c r="C28" s="28" t="n">
        <f aca="false">Supuestos!$D$8</f>
        <v>45</v>
      </c>
      <c r="D28" s="29" t="n">
        <f aca="false">B28*Supuestos!$D$10</f>
        <v>56847.623112344</v>
      </c>
      <c r="E28" s="29" t="n">
        <f aca="false">D28*12</f>
        <v>682171.477348128</v>
      </c>
      <c r="F28" s="29" t="n">
        <f aca="false">C28*Supuestos!$D$11</f>
        <v>4275</v>
      </c>
      <c r="G28" s="29" t="n">
        <f aca="false">B28*Supuestos!$D$12</f>
        <v>4737.30192602867</v>
      </c>
      <c r="H28" s="30" t="n">
        <f aca="false">Supuestos!$D$13</f>
        <v>3000</v>
      </c>
      <c r="I28" s="29" t="n">
        <f aca="false">D28-G28</f>
        <v>52110.3211863153</v>
      </c>
      <c r="J28" s="29" t="n">
        <f aca="false">I28-H28</f>
        <v>49110.3211863153</v>
      </c>
      <c r="K28" s="29" t="n">
        <f aca="false">J28-F28</f>
        <v>44835.3211863153</v>
      </c>
    </row>
    <row r="29" customFormat="false" ht="15" hidden="false" customHeight="false" outlineLevel="0" collapsed="false">
      <c r="A29" s="21" t="n">
        <v>25</v>
      </c>
      <c r="B29" s="22" t="n">
        <f aca="false">B28*(1-Supuestos!$D$9)+Supuestos!$D$8</f>
        <v>978.248479427647</v>
      </c>
      <c r="C29" s="23" t="n">
        <f aca="false">Supuestos!$D$8</f>
        <v>45</v>
      </c>
      <c r="D29" s="24" t="n">
        <f aca="false">B29*Supuestos!$D$10</f>
        <v>58694.9087656588</v>
      </c>
      <c r="E29" s="24" t="n">
        <f aca="false">D29*12</f>
        <v>704338.905187906</v>
      </c>
      <c r="F29" s="24" t="n">
        <f aca="false">C29*Supuestos!$D$11</f>
        <v>4275</v>
      </c>
      <c r="G29" s="24" t="n">
        <f aca="false">B29*Supuestos!$D$12</f>
        <v>4891.24239713824</v>
      </c>
      <c r="H29" s="25" t="n">
        <f aca="false">Supuestos!$D$13</f>
        <v>3000</v>
      </c>
      <c r="I29" s="24" t="n">
        <f aca="false">D29-G29</f>
        <v>53803.6663685206</v>
      </c>
      <c r="J29" s="24" t="n">
        <f aca="false">I29-H29</f>
        <v>50803.6663685206</v>
      </c>
      <c r="K29" s="24" t="n">
        <f aca="false">J29-F29</f>
        <v>46528.6663685206</v>
      </c>
    </row>
    <row r="30" customFormat="false" ht="15" hidden="false" customHeight="false" outlineLevel="0" collapsed="false">
      <c r="A30" s="26" t="n">
        <v>26</v>
      </c>
      <c r="B30" s="27" t="n">
        <f aca="false">B29*(1-Supuestos!$D$9)+Supuestos!$D$8</f>
        <v>1008.57475223623</v>
      </c>
      <c r="C30" s="28" t="n">
        <f aca="false">Supuestos!$D$8</f>
        <v>45</v>
      </c>
      <c r="D30" s="29" t="n">
        <f aca="false">B30*Supuestos!$D$10</f>
        <v>60514.485134174</v>
      </c>
      <c r="E30" s="29" t="n">
        <f aca="false">D30*12</f>
        <v>726173.821610087</v>
      </c>
      <c r="F30" s="29" t="n">
        <f aca="false">C30*Supuestos!$D$11</f>
        <v>4275</v>
      </c>
      <c r="G30" s="29" t="n">
        <f aca="false">B30*Supuestos!$D$12</f>
        <v>5042.87376118116</v>
      </c>
      <c r="H30" s="30" t="n">
        <f aca="false">Supuestos!$D$13</f>
        <v>3000</v>
      </c>
      <c r="I30" s="29" t="n">
        <f aca="false">D30-G30</f>
        <v>55471.6113729928</v>
      </c>
      <c r="J30" s="29" t="n">
        <f aca="false">I30-H30</f>
        <v>52471.6113729928</v>
      </c>
      <c r="K30" s="29" t="n">
        <f aca="false">J30-F30</f>
        <v>48196.6113729928</v>
      </c>
    </row>
    <row r="31" customFormat="false" ht="15" hidden="false" customHeight="false" outlineLevel="0" collapsed="false">
      <c r="A31" s="21" t="n">
        <v>27</v>
      </c>
      <c r="B31" s="22" t="n">
        <f aca="false">B30*(1-Supuestos!$D$9)+Supuestos!$D$8</f>
        <v>1038.44613095269</v>
      </c>
      <c r="C31" s="23" t="n">
        <f aca="false">Supuestos!$D$8</f>
        <v>45</v>
      </c>
      <c r="D31" s="24" t="n">
        <f aca="false">B31*Supuestos!$D$10</f>
        <v>62306.7678571614</v>
      </c>
      <c r="E31" s="24" t="n">
        <f aca="false">D31*12</f>
        <v>747681.214285936</v>
      </c>
      <c r="F31" s="24" t="n">
        <f aca="false">C31*Supuestos!$D$11</f>
        <v>4275</v>
      </c>
      <c r="G31" s="24" t="n">
        <f aca="false">B31*Supuestos!$D$12</f>
        <v>5192.23065476345</v>
      </c>
      <c r="H31" s="25" t="n">
        <f aca="false">Supuestos!$D$13</f>
        <v>3000</v>
      </c>
      <c r="I31" s="24" t="n">
        <f aca="false">D31-G31</f>
        <v>57114.5372023979</v>
      </c>
      <c r="J31" s="24" t="n">
        <f aca="false">I31-H31</f>
        <v>54114.5372023979</v>
      </c>
      <c r="K31" s="24" t="n">
        <f aca="false">J31-F31</f>
        <v>49839.5372023979</v>
      </c>
    </row>
    <row r="32" customFormat="false" ht="15" hidden="false" customHeight="false" outlineLevel="0" collapsed="false">
      <c r="A32" s="26" t="n">
        <v>28</v>
      </c>
      <c r="B32" s="27" t="n">
        <f aca="false">B31*(1-Supuestos!$D$9)+Supuestos!$D$8</f>
        <v>1067.8694389884</v>
      </c>
      <c r="C32" s="28" t="n">
        <f aca="false">Supuestos!$D$8</f>
        <v>45</v>
      </c>
      <c r="D32" s="29" t="n">
        <f aca="false">B32*Supuestos!$D$10</f>
        <v>64072.1663393039</v>
      </c>
      <c r="E32" s="29" t="n">
        <f aca="false">D32*12</f>
        <v>768865.996071647</v>
      </c>
      <c r="F32" s="29" t="n">
        <f aca="false">C32*Supuestos!$D$11</f>
        <v>4275</v>
      </c>
      <c r="G32" s="29" t="n">
        <f aca="false">B32*Supuestos!$D$12</f>
        <v>5339.34719494199</v>
      </c>
      <c r="H32" s="30" t="n">
        <f aca="false">Supuestos!$D$13</f>
        <v>3000</v>
      </c>
      <c r="I32" s="29" t="n">
        <f aca="false">D32-G32</f>
        <v>58732.8191443619</v>
      </c>
      <c r="J32" s="29" t="n">
        <f aca="false">I32-H32</f>
        <v>55732.8191443619</v>
      </c>
      <c r="K32" s="29" t="n">
        <f aca="false">J32-F32</f>
        <v>51457.8191443619</v>
      </c>
    </row>
    <row r="33" customFormat="false" ht="15" hidden="false" customHeight="false" outlineLevel="0" collapsed="false">
      <c r="A33" s="21" t="n">
        <v>29</v>
      </c>
      <c r="B33" s="22" t="n">
        <f aca="false">B32*(1-Supuestos!$D$9)+Supuestos!$D$8</f>
        <v>1096.85139740357</v>
      </c>
      <c r="C33" s="23" t="n">
        <f aca="false">Supuestos!$D$8</f>
        <v>45</v>
      </c>
      <c r="D33" s="24" t="n">
        <f aca="false">B33*Supuestos!$D$10</f>
        <v>65811.0838442144</v>
      </c>
      <c r="E33" s="24" t="n">
        <f aca="false">D33*12</f>
        <v>789733.006130572</v>
      </c>
      <c r="F33" s="24" t="n">
        <f aca="false">C33*Supuestos!$D$11</f>
        <v>4275</v>
      </c>
      <c r="G33" s="24" t="n">
        <f aca="false">B33*Supuestos!$D$12</f>
        <v>5484.25698701786</v>
      </c>
      <c r="H33" s="25" t="n">
        <f aca="false">Supuestos!$D$13</f>
        <v>3000</v>
      </c>
      <c r="I33" s="24" t="n">
        <f aca="false">D33-G33</f>
        <v>60326.8268571965</v>
      </c>
      <c r="J33" s="24" t="n">
        <f aca="false">I33-H33</f>
        <v>57326.8268571965</v>
      </c>
      <c r="K33" s="24" t="n">
        <f aca="false">J33-F33</f>
        <v>53051.8268571965</v>
      </c>
    </row>
    <row r="34" customFormat="false" ht="15" hidden="false" customHeight="false" outlineLevel="0" collapsed="false">
      <c r="A34" s="26" t="n">
        <v>30</v>
      </c>
      <c r="B34" s="27" t="n">
        <f aca="false">B33*(1-Supuestos!$D$9)+Supuestos!$D$8</f>
        <v>1125.39862644252</v>
      </c>
      <c r="C34" s="28" t="n">
        <f aca="false">Supuestos!$D$8</f>
        <v>45</v>
      </c>
      <c r="D34" s="29" t="n">
        <f aca="false">B34*Supuestos!$D$10</f>
        <v>67523.9175865512</v>
      </c>
      <c r="E34" s="29" t="n">
        <f aca="false">D34*12</f>
        <v>810287.011038614</v>
      </c>
      <c r="F34" s="29" t="n">
        <f aca="false">C34*Supuestos!$D$11</f>
        <v>4275</v>
      </c>
      <c r="G34" s="29" t="n">
        <f aca="false">B34*Supuestos!$D$12</f>
        <v>5626.9931322126</v>
      </c>
      <c r="H34" s="30" t="n">
        <f aca="false">Supuestos!$D$13</f>
        <v>3000</v>
      </c>
      <c r="I34" s="29" t="n">
        <f aca="false">D34-G34</f>
        <v>61896.9244543386</v>
      </c>
      <c r="J34" s="29" t="n">
        <f aca="false">I34-H34</f>
        <v>58896.9244543386</v>
      </c>
      <c r="K34" s="29" t="n">
        <f aca="false">J34-F34</f>
        <v>54621.9244543386</v>
      </c>
    </row>
    <row r="35" customFormat="false" ht="15" hidden="false" customHeight="false" outlineLevel="0" collapsed="false">
      <c r="A35" s="21" t="n">
        <v>31</v>
      </c>
      <c r="B35" s="22" t="n">
        <f aca="false">B34*(1-Supuestos!$D$9)+Supuestos!$D$8</f>
        <v>1153.51764704588</v>
      </c>
      <c r="C35" s="23" t="n">
        <f aca="false">Supuestos!$D$8</f>
        <v>45</v>
      </c>
      <c r="D35" s="24" t="n">
        <f aca="false">B35*Supuestos!$D$10</f>
        <v>69211.0588227529</v>
      </c>
      <c r="E35" s="24" t="n">
        <f aca="false">D35*12</f>
        <v>830532.705873035</v>
      </c>
      <c r="F35" s="24" t="n">
        <f aca="false">C35*Supuestos!$D$11</f>
        <v>4275</v>
      </c>
      <c r="G35" s="24" t="n">
        <f aca="false">B35*Supuestos!$D$12</f>
        <v>5767.58823522941</v>
      </c>
      <c r="H35" s="25" t="n">
        <f aca="false">Supuestos!$D$13</f>
        <v>3000</v>
      </c>
      <c r="I35" s="24" t="n">
        <f aca="false">D35-G35</f>
        <v>63443.4705875235</v>
      </c>
      <c r="J35" s="24" t="n">
        <f aca="false">I35-H35</f>
        <v>60443.4705875235</v>
      </c>
      <c r="K35" s="24" t="n">
        <f aca="false">J35-F35</f>
        <v>56168.4705875235</v>
      </c>
    </row>
    <row r="36" customFormat="false" ht="15" hidden="false" customHeight="false" outlineLevel="0" collapsed="false">
      <c r="A36" s="26" t="n">
        <v>32</v>
      </c>
      <c r="B36" s="27" t="n">
        <f aca="false">B35*(1-Supuestos!$D$9)+Supuestos!$D$8</f>
        <v>1181.21488234019</v>
      </c>
      <c r="C36" s="28" t="n">
        <f aca="false">Supuestos!$D$8</f>
        <v>45</v>
      </c>
      <c r="D36" s="29" t="n">
        <f aca="false">B36*Supuestos!$D$10</f>
        <v>70872.8929404116</v>
      </c>
      <c r="E36" s="29" t="n">
        <f aca="false">D36*12</f>
        <v>850474.715284939</v>
      </c>
      <c r="F36" s="29" t="n">
        <f aca="false">C36*Supuestos!$D$11</f>
        <v>4275</v>
      </c>
      <c r="G36" s="29" t="n">
        <f aca="false">B36*Supuestos!$D$12</f>
        <v>5906.07441170097</v>
      </c>
      <c r="H36" s="30" t="n">
        <f aca="false">Supuestos!$D$13</f>
        <v>3000</v>
      </c>
      <c r="I36" s="29" t="n">
        <f aca="false">D36-G36</f>
        <v>64966.8185287106</v>
      </c>
      <c r="J36" s="29" t="n">
        <f aca="false">I36-H36</f>
        <v>61966.8185287106</v>
      </c>
      <c r="K36" s="29" t="n">
        <f aca="false">J36-F36</f>
        <v>57691.8185287106</v>
      </c>
    </row>
    <row r="37" customFormat="false" ht="15" hidden="false" customHeight="false" outlineLevel="0" collapsed="false">
      <c r="A37" s="21" t="n">
        <v>33</v>
      </c>
      <c r="B37" s="22" t="n">
        <f aca="false">B36*(1-Supuestos!$D$9)+Supuestos!$D$8</f>
        <v>1208.49665910509</v>
      </c>
      <c r="C37" s="23" t="n">
        <f aca="false">Supuestos!$D$8</f>
        <v>45</v>
      </c>
      <c r="D37" s="24" t="n">
        <f aca="false">B37*Supuestos!$D$10</f>
        <v>72509.7995463054</v>
      </c>
      <c r="E37" s="24" t="n">
        <f aca="false">D37*12</f>
        <v>870117.594555665</v>
      </c>
      <c r="F37" s="24" t="n">
        <f aca="false">C37*Supuestos!$D$11</f>
        <v>4275</v>
      </c>
      <c r="G37" s="24" t="n">
        <f aca="false">B37*Supuestos!$D$12</f>
        <v>6042.48329552545</v>
      </c>
      <c r="H37" s="25" t="n">
        <f aca="false">Supuestos!$D$13</f>
        <v>3000</v>
      </c>
      <c r="I37" s="24" t="n">
        <f aca="false">D37-G37</f>
        <v>66467.31625078</v>
      </c>
      <c r="J37" s="24" t="n">
        <f aca="false">I37-H37</f>
        <v>63467.31625078</v>
      </c>
      <c r="K37" s="24" t="n">
        <f aca="false">J37-F37</f>
        <v>59192.31625078</v>
      </c>
    </row>
    <row r="38" customFormat="false" ht="15" hidden="false" customHeight="false" outlineLevel="0" collapsed="false">
      <c r="A38" s="26" t="n">
        <v>34</v>
      </c>
      <c r="B38" s="27" t="n">
        <f aca="false">B37*(1-Supuestos!$D$9)+Supuestos!$D$8</f>
        <v>1235.36920921851</v>
      </c>
      <c r="C38" s="28" t="n">
        <f aca="false">Supuestos!$D$8</f>
        <v>45</v>
      </c>
      <c r="D38" s="29" t="n">
        <f aca="false">B38*Supuestos!$D$10</f>
        <v>74122.1525531108</v>
      </c>
      <c r="E38" s="29" t="n">
        <f aca="false">D38*12</f>
        <v>889465.83063733</v>
      </c>
      <c r="F38" s="29" t="n">
        <f aca="false">C38*Supuestos!$D$11</f>
        <v>4275</v>
      </c>
      <c r="G38" s="29" t="n">
        <f aca="false">B38*Supuestos!$D$12</f>
        <v>6176.84604609257</v>
      </c>
      <c r="H38" s="30" t="n">
        <f aca="false">Supuestos!$D$13</f>
        <v>3000</v>
      </c>
      <c r="I38" s="29" t="n">
        <f aca="false">D38-G38</f>
        <v>67945.3065070183</v>
      </c>
      <c r="J38" s="29" t="n">
        <f aca="false">I38-H38</f>
        <v>64945.3065070183</v>
      </c>
      <c r="K38" s="29" t="n">
        <f aca="false">J38-F38</f>
        <v>60670.3065070183</v>
      </c>
    </row>
    <row r="39" customFormat="false" ht="15" hidden="false" customHeight="false" outlineLevel="0" collapsed="false">
      <c r="A39" s="21" t="n">
        <v>35</v>
      </c>
      <c r="B39" s="22" t="n">
        <f aca="false">B38*(1-Supuestos!$D$9)+Supuestos!$D$8</f>
        <v>1261.83867108024</v>
      </c>
      <c r="C39" s="23" t="n">
        <f aca="false">Supuestos!$D$8</f>
        <v>45</v>
      </c>
      <c r="D39" s="24" t="n">
        <f aca="false">B39*Supuestos!$D$10</f>
        <v>75710.3202648142</v>
      </c>
      <c r="E39" s="24" t="n">
        <f aca="false">D39*12</f>
        <v>908523.84317777</v>
      </c>
      <c r="F39" s="24" t="n">
        <f aca="false">C39*Supuestos!$D$11</f>
        <v>4275</v>
      </c>
      <c r="G39" s="24" t="n">
        <f aca="false">B39*Supuestos!$D$12</f>
        <v>6309.19335540118</v>
      </c>
      <c r="H39" s="25" t="n">
        <f aca="false">Supuestos!$D$13</f>
        <v>3000</v>
      </c>
      <c r="I39" s="24" t="n">
        <f aca="false">D39-G39</f>
        <v>69401.126909413</v>
      </c>
      <c r="J39" s="24" t="n">
        <f aca="false">I39-H39</f>
        <v>66401.126909413</v>
      </c>
      <c r="K39" s="24" t="n">
        <f aca="false">J39-F39</f>
        <v>62126.126909413</v>
      </c>
    </row>
    <row r="40" customFormat="false" ht="15" hidden="false" customHeight="false" outlineLevel="0" collapsed="false">
      <c r="A40" s="26" t="n">
        <v>36</v>
      </c>
      <c r="B40" s="27" t="n">
        <f aca="false">B39*(1-Supuestos!$D$9)+Supuestos!$D$8</f>
        <v>1287.91109101403</v>
      </c>
      <c r="C40" s="28" t="n">
        <f aca="false">Supuestos!$D$8</f>
        <v>45</v>
      </c>
      <c r="D40" s="29" t="n">
        <f aca="false">B40*Supuestos!$D$10</f>
        <v>77274.665460842</v>
      </c>
      <c r="E40" s="29" t="n">
        <f aca="false">D40*12</f>
        <v>927295.985530103</v>
      </c>
      <c r="F40" s="29" t="n">
        <f aca="false">C40*Supuestos!$D$11</f>
        <v>4275</v>
      </c>
      <c r="G40" s="29" t="n">
        <f aca="false">B40*Supuestos!$D$12</f>
        <v>6439.55545507016</v>
      </c>
      <c r="H40" s="30" t="n">
        <f aca="false">Supuestos!$D$13</f>
        <v>3000</v>
      </c>
      <c r="I40" s="29" t="n">
        <f aca="false">D40-G40</f>
        <v>70835.1100057718</v>
      </c>
      <c r="J40" s="29" t="n">
        <f aca="false">I40-H40</f>
        <v>67835.1100057718</v>
      </c>
      <c r="K40" s="29" t="n">
        <f aca="false">J40-F40</f>
        <v>63560.1100057718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8"/>
    <col collapsed="false" customWidth="true" hidden="false" outlineLevel="0" max="4" min="3" style="1" width="14"/>
    <col collapsed="false" customWidth="true" hidden="false" outlineLevel="0" max="6" min="5" style="1" width="13"/>
    <col collapsed="false" customWidth="true" hidden="false" outlineLevel="0" max="7" min="7" style="1" width="17"/>
    <col collapsed="false" customWidth="true" hidden="false" outlineLevel="0" max="8" min="8" style="1" width="13"/>
    <col collapsed="false" customWidth="true" hidden="false" outlineLevel="0" max="9" min="9" style="1" width="15"/>
    <col collapsed="false" customWidth="true" hidden="false" outlineLevel="0" max="10" min="10" style="1" width="13"/>
  </cols>
  <sheetData>
    <row r="1" customFormat="false" ht="19.7" hidden="false" customHeight="false" outlineLevel="0" collapsed="false">
      <c r="A1" s="2" t="s">
        <v>61</v>
      </c>
    </row>
    <row r="2" customFormat="false" ht="15" hidden="false" customHeight="false" outlineLevel="0" collapsed="false">
      <c r="A2" s="31" t="s">
        <v>62</v>
      </c>
      <c r="B2" s="31"/>
      <c r="C2" s="31"/>
      <c r="D2" s="31"/>
      <c r="E2" s="31"/>
      <c r="F2" s="31"/>
      <c r="G2" s="31"/>
      <c r="H2" s="31"/>
      <c r="I2" s="31"/>
      <c r="J2" s="31"/>
    </row>
    <row r="4" customFormat="false" ht="23.85" hidden="false" customHeight="false" outlineLevel="0" collapsed="false">
      <c r="A4" s="13" t="s">
        <v>63</v>
      </c>
      <c r="B4" s="13" t="s">
        <v>64</v>
      </c>
      <c r="C4" s="13" t="s">
        <v>65</v>
      </c>
      <c r="D4" s="13" t="s">
        <v>52</v>
      </c>
      <c r="E4" s="13" t="s">
        <v>53</v>
      </c>
      <c r="F4" s="13" t="s">
        <v>51</v>
      </c>
      <c r="G4" s="13" t="s">
        <v>55</v>
      </c>
      <c r="H4" s="13" t="s">
        <v>66</v>
      </c>
      <c r="I4" s="13" t="s">
        <v>56</v>
      </c>
      <c r="J4" s="13" t="s">
        <v>67</v>
      </c>
    </row>
    <row r="5" customFormat="false" ht="15" hidden="false" customHeight="false" outlineLevel="0" collapsed="false">
      <c r="A5" s="32" t="s">
        <v>14</v>
      </c>
      <c r="B5" s="33" t="s">
        <v>68</v>
      </c>
      <c r="C5" s="25" t="n">
        <f aca="false">SUM(Mensual_Conservador!D5:D16)</f>
        <v>52546.8938696405</v>
      </c>
      <c r="D5" s="25" t="n">
        <f aca="false">SUM(Mensual_Conservador!G5:G16)</f>
        <v>5838.54376329338</v>
      </c>
      <c r="E5" s="25" t="n">
        <f aca="false">SUM(Mensual_Conservador!H5:H16)</f>
        <v>36000</v>
      </c>
      <c r="F5" s="25" t="n">
        <f aca="false">SUM(Mensual_Conservador!F5:F16)</f>
        <v>18000</v>
      </c>
      <c r="G5" s="24" t="n">
        <f aca="false">C5-D5-E5</f>
        <v>10708.3501063471</v>
      </c>
      <c r="H5" s="34" t="n">
        <f aca="false">G5/C5</f>
        <v>0.203786547933977</v>
      </c>
      <c r="I5" s="24" t="n">
        <f aca="false">G5-F5</f>
        <v>-7291.64989365293</v>
      </c>
      <c r="J5" s="34" t="n">
        <f aca="false">I5/C5</f>
        <v>-0.138764622543479</v>
      </c>
    </row>
    <row r="6" customFormat="false" ht="15" hidden="false" customHeight="false" outlineLevel="0" collapsed="false">
      <c r="A6" s="35" t="s">
        <v>14</v>
      </c>
      <c r="B6" s="36" t="s">
        <v>69</v>
      </c>
      <c r="C6" s="30" t="n">
        <f aca="false">SUM(Mensual_Conservador!D17:D28)</f>
        <v>87939.7580138844</v>
      </c>
      <c r="D6" s="30" t="n">
        <f aca="false">SUM(Mensual_Conservador!G17:G28)</f>
        <v>9771.08422376493</v>
      </c>
      <c r="E6" s="30" t="n">
        <f aca="false">SUM(Mensual_Conservador!H17:H28)</f>
        <v>36000</v>
      </c>
      <c r="F6" s="30" t="n">
        <f aca="false">SUM(Mensual_Conservador!F17:F28)</f>
        <v>18000</v>
      </c>
      <c r="G6" s="29" t="n">
        <f aca="false">C6-D6-E6</f>
        <v>42168.6737901194</v>
      </c>
      <c r="H6" s="37" t="n">
        <f aca="false">G6/C6</f>
        <v>0.479517737397704</v>
      </c>
      <c r="I6" s="29" t="n">
        <f aca="false">G6-F6</f>
        <v>24168.6737901194</v>
      </c>
      <c r="J6" s="37" t="n">
        <f aca="false">I6/C6</f>
        <v>0.274832161652112</v>
      </c>
    </row>
    <row r="7" customFormat="false" ht="15" hidden="false" customHeight="false" outlineLevel="0" collapsed="false">
      <c r="A7" s="32" t="s">
        <v>14</v>
      </c>
      <c r="B7" s="33" t="s">
        <v>70</v>
      </c>
      <c r="C7" s="25" t="n">
        <f aca="false">SUM(Mensual_Conservador!D29:D40)</f>
        <v>111020.165347542</v>
      </c>
      <c r="D7" s="25" t="n">
        <f aca="false">SUM(Mensual_Conservador!G29:G40)</f>
        <v>12335.5739275047</v>
      </c>
      <c r="E7" s="25" t="n">
        <f aca="false">SUM(Mensual_Conservador!H29:H40)</f>
        <v>36000</v>
      </c>
      <c r="F7" s="25" t="n">
        <f aca="false">SUM(Mensual_Conservador!F29:F40)</f>
        <v>18000</v>
      </c>
      <c r="G7" s="24" t="n">
        <f aca="false">C7-D7-E7</f>
        <v>62684.5914200373</v>
      </c>
      <c r="H7" s="34" t="n">
        <f aca="false">G7/C7</f>
        <v>0.564623473796918</v>
      </c>
      <c r="I7" s="24" t="n">
        <f aca="false">G7-F7</f>
        <v>44684.5914200373</v>
      </c>
      <c r="J7" s="34" t="n">
        <f aca="false">I7/C7</f>
        <v>0.402490766250932</v>
      </c>
    </row>
    <row r="9" customFormat="false" ht="15" hidden="false" customHeight="false" outlineLevel="0" collapsed="false">
      <c r="A9" s="38" t="s">
        <v>15</v>
      </c>
      <c r="B9" s="33" t="s">
        <v>68</v>
      </c>
      <c r="C9" s="25" t="n">
        <f aca="false">SUM(Mensual_Base!D5:D16)</f>
        <v>96949.6110028921</v>
      </c>
      <c r="D9" s="25" t="n">
        <f aca="false">SUM(Mensual_Base!G5:G16)</f>
        <v>9892.81744927471</v>
      </c>
      <c r="E9" s="25" t="n">
        <f aca="false">SUM(Mensual_Base!H5:H16)</f>
        <v>36000</v>
      </c>
      <c r="F9" s="25" t="n">
        <f aca="false">SUM(Mensual_Base!F5:F16)</f>
        <v>28800</v>
      </c>
      <c r="G9" s="24" t="n">
        <f aca="false">C9-D9-E9</f>
        <v>51056.7935536174</v>
      </c>
      <c r="H9" s="34" t="n">
        <f aca="false">G9/C9</f>
        <v>0.526632268303731</v>
      </c>
      <c r="I9" s="24" t="n">
        <f aca="false">G9-F9</f>
        <v>22256.7935536174</v>
      </c>
      <c r="J9" s="34" t="n">
        <f aca="false">I9/C9</f>
        <v>0.22957073600794</v>
      </c>
    </row>
    <row r="10" customFormat="false" ht="15" hidden="false" customHeight="false" outlineLevel="0" collapsed="false">
      <c r="A10" s="39" t="s">
        <v>15</v>
      </c>
      <c r="B10" s="36" t="s">
        <v>69</v>
      </c>
      <c r="C10" s="30" t="n">
        <f aca="false">SUM(Mensual_Base!D17:D28)</f>
        <v>202664.54755749</v>
      </c>
      <c r="D10" s="30" t="n">
        <f aca="false">SUM(Mensual_Base!G17:G28)</f>
        <v>20680.0558732133</v>
      </c>
      <c r="E10" s="30" t="n">
        <f aca="false">SUM(Mensual_Base!H17:H28)</f>
        <v>36000</v>
      </c>
      <c r="F10" s="30" t="n">
        <f aca="false">SUM(Mensual_Base!F17:F28)</f>
        <v>28800</v>
      </c>
      <c r="G10" s="29" t="n">
        <f aca="false">C10-D10-E10</f>
        <v>145984.491684277</v>
      </c>
      <c r="H10" s="37" t="n">
        <f aca="false">G10/C10</f>
        <v>0.720325747367656</v>
      </c>
      <c r="I10" s="29" t="n">
        <f aca="false">G10-F10</f>
        <v>117184.491684277</v>
      </c>
      <c r="J10" s="37" t="n">
        <f aca="false">I10/C10</f>
        <v>0.578218998323005</v>
      </c>
    </row>
    <row r="11" customFormat="false" ht="15" hidden="false" customHeight="false" outlineLevel="0" collapsed="false">
      <c r="A11" s="38" t="s">
        <v>15</v>
      </c>
      <c r="B11" s="33" t="s">
        <v>70</v>
      </c>
      <c r="C11" s="25" t="n">
        <f aca="false">SUM(Mensual_Base!D29:D40)</f>
        <v>285620.826220447</v>
      </c>
      <c r="D11" s="25" t="n">
        <f aca="false">SUM(Mensual_Base!G29:G40)</f>
        <v>29144.9822673926</v>
      </c>
      <c r="E11" s="25" t="n">
        <f aca="false">SUM(Mensual_Base!H29:H40)</f>
        <v>36000</v>
      </c>
      <c r="F11" s="25" t="n">
        <f aca="false">SUM(Mensual_Base!F29:F40)</f>
        <v>28800</v>
      </c>
      <c r="G11" s="24" t="n">
        <f aca="false">C11-D11-E11</f>
        <v>220475.843953054</v>
      </c>
      <c r="H11" s="34" t="n">
        <f aca="false">G11/C11</f>
        <v>0.771917954550301</v>
      </c>
      <c r="I11" s="24" t="n">
        <f aca="false">G11-F11</f>
        <v>191675.843953054</v>
      </c>
      <c r="J11" s="34" t="n">
        <f aca="false">I11/C11</f>
        <v>0.671084971251766</v>
      </c>
    </row>
    <row r="13" customFormat="false" ht="15" hidden="false" customHeight="false" outlineLevel="0" collapsed="false">
      <c r="A13" s="40" t="s">
        <v>16</v>
      </c>
      <c r="B13" s="33" t="s">
        <v>68</v>
      </c>
      <c r="C13" s="25" t="n">
        <f aca="false">SUM(Mensual_Agresivo!D5:D16)</f>
        <v>232115.868026014</v>
      </c>
      <c r="D13" s="25" t="n">
        <f aca="false">SUM(Mensual_Agresivo!G5:G16)</f>
        <v>19342.9890021679</v>
      </c>
      <c r="E13" s="25" t="n">
        <f aca="false">SUM(Mensual_Agresivo!H5:H16)</f>
        <v>36000</v>
      </c>
      <c r="F13" s="25" t="n">
        <f aca="false">SUM(Mensual_Agresivo!F5:F16)</f>
        <v>51300</v>
      </c>
      <c r="G13" s="24" t="n">
        <f aca="false">C13-D13-E13</f>
        <v>176772.879023847</v>
      </c>
      <c r="H13" s="34" t="n">
        <f aca="false">G13/C13</f>
        <v>0.761571712124544</v>
      </c>
      <c r="I13" s="24" t="n">
        <f aca="false">G13-F13</f>
        <v>125472.879023847</v>
      </c>
      <c r="J13" s="34" t="n">
        <f aca="false">I13/C13</f>
        <v>0.54056140190202</v>
      </c>
    </row>
    <row r="14" customFormat="false" ht="15" hidden="false" customHeight="false" outlineLevel="0" collapsed="false">
      <c r="A14" s="41" t="s">
        <v>16</v>
      </c>
      <c r="B14" s="36" t="s">
        <v>69</v>
      </c>
      <c r="C14" s="30" t="n">
        <f aca="false">SUM(Mensual_Agresivo!D17:D28)</f>
        <v>551890.214263396</v>
      </c>
      <c r="D14" s="30" t="n">
        <f aca="false">SUM(Mensual_Agresivo!G17:G28)</f>
        <v>45990.8511886163</v>
      </c>
      <c r="E14" s="30" t="n">
        <f aca="false">SUM(Mensual_Agresivo!H17:H28)</f>
        <v>36000</v>
      </c>
      <c r="F14" s="30" t="n">
        <f aca="false">SUM(Mensual_Agresivo!F17:F28)</f>
        <v>51300</v>
      </c>
      <c r="G14" s="29" t="n">
        <f aca="false">C14-D14-E14</f>
        <v>469899.36307478</v>
      </c>
      <c r="H14" s="37" t="n">
        <f aca="false">G14/C14</f>
        <v>0.851436301877451</v>
      </c>
      <c r="I14" s="29" t="n">
        <f aca="false">G14-F14</f>
        <v>418599.36307478</v>
      </c>
      <c r="J14" s="37" t="n">
        <f aca="false">I14/C14</f>
        <v>0.758483032052817</v>
      </c>
    </row>
    <row r="15" customFormat="false" ht="15" hidden="false" customHeight="false" outlineLevel="0" collapsed="false">
      <c r="A15" s="40" t="s">
        <v>16</v>
      </c>
      <c r="B15" s="33" t="s">
        <v>70</v>
      </c>
      <c r="C15" s="25" t="n">
        <f aca="false">SUM(Mensual_Agresivo!D29:D40)</f>
        <v>818624.2191153</v>
      </c>
      <c r="D15" s="25" t="n">
        <f aca="false">SUM(Mensual_Agresivo!G29:G40)</f>
        <v>68218.684926275</v>
      </c>
      <c r="E15" s="25" t="n">
        <f aca="false">SUM(Mensual_Agresivo!H29:H40)</f>
        <v>36000</v>
      </c>
      <c r="F15" s="25" t="n">
        <f aca="false">SUM(Mensual_Agresivo!F29:F40)</f>
        <v>51300</v>
      </c>
      <c r="G15" s="24" t="n">
        <f aca="false">C15-D15-E15</f>
        <v>714405.534189025</v>
      </c>
      <c r="H15" s="34" t="n">
        <f aca="false">G15/C15</f>
        <v>0.87269044514844</v>
      </c>
      <c r="I15" s="24" t="n">
        <f aca="false">G15-F15</f>
        <v>663105.534189025</v>
      </c>
      <c r="J15" s="34" t="n">
        <f aca="false">I15/C15</f>
        <v>0.810024329484966</v>
      </c>
    </row>
  </sheetData>
  <mergeCells count="1">
    <mergeCell ref="A2:J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1" activeCellId="0" sqref="E21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42"/>
    <col collapsed="false" customWidth="true" hidden="false" outlineLevel="0" max="4" min="2" style="42" width="16"/>
  </cols>
  <sheetData>
    <row r="1" customFormat="false" ht="19.7" hidden="false" customHeight="false" outlineLevel="0" collapsed="false">
      <c r="A1" s="2" t="s">
        <v>71</v>
      </c>
    </row>
    <row r="2" customFormat="false" ht="13.8" hidden="false" customHeight="false" outlineLevel="0" collapsed="false">
      <c r="A2" s="11" t="s">
        <v>72</v>
      </c>
    </row>
    <row r="3" customFormat="false" ht="12.8" hidden="false" customHeight="false" outlineLevel="0" collapsed="false">
      <c r="A3" s="12" t="s">
        <v>73</v>
      </c>
      <c r="B3" s="12"/>
      <c r="C3" s="12"/>
      <c r="D3" s="12"/>
    </row>
    <row r="5" customFormat="false" ht="12.8" hidden="false" customHeight="false" outlineLevel="0" collapsed="false">
      <c r="A5" s="13" t="s">
        <v>74</v>
      </c>
      <c r="B5" s="13" t="s">
        <v>14</v>
      </c>
      <c r="C5" s="13" t="s">
        <v>15</v>
      </c>
      <c r="D5" s="13" t="s">
        <v>16</v>
      </c>
    </row>
    <row r="6" customFormat="false" ht="13.85" hidden="false" customHeight="true" outlineLevel="0" collapsed="false">
      <c r="A6" s="14" t="s">
        <v>28</v>
      </c>
      <c r="B6" s="43" t="n">
        <f aca="false">Supuestos!B10</f>
        <v>45</v>
      </c>
      <c r="C6" s="43" t="n">
        <f aca="false">Supuestos!C10</f>
        <v>49</v>
      </c>
      <c r="D6" s="43" t="n">
        <f aca="false">Supuestos!D10</f>
        <v>60</v>
      </c>
    </row>
    <row r="7" customFormat="false" ht="12.8" hidden="false" customHeight="false" outlineLevel="0" collapsed="false">
      <c r="A7" s="44" t="s">
        <v>31</v>
      </c>
      <c r="B7" s="45" t="n">
        <f aca="false">Supuestos!B11</f>
        <v>150</v>
      </c>
      <c r="C7" s="45" t="n">
        <f aca="false">Supuestos!C11</f>
        <v>120</v>
      </c>
      <c r="D7" s="45" t="n">
        <f aca="false">Supuestos!D11</f>
        <v>95</v>
      </c>
    </row>
    <row r="8" customFormat="false" ht="12.8" hidden="false" customHeight="false" outlineLevel="0" collapsed="false">
      <c r="A8" s="14" t="s">
        <v>25</v>
      </c>
      <c r="B8" s="46" t="n">
        <f aca="false">Supuestos!B9</f>
        <v>0.035</v>
      </c>
      <c r="C8" s="46" t="n">
        <f aca="false">Supuestos!C9</f>
        <v>0.02</v>
      </c>
      <c r="D8" s="46" t="n">
        <f aca="false">Supuestos!D9</f>
        <v>0.015</v>
      </c>
    </row>
    <row r="9" customFormat="false" ht="12.8" hidden="false" customHeight="false" outlineLevel="0" collapsed="false">
      <c r="A9" s="44" t="s">
        <v>75</v>
      </c>
      <c r="B9" s="47" t="n">
        <f aca="false">1/B8</f>
        <v>28.5714285714286</v>
      </c>
      <c r="C9" s="47" t="n">
        <f aca="false">1/C8</f>
        <v>50</v>
      </c>
      <c r="D9" s="47" t="n">
        <f aca="false">1/D8</f>
        <v>66.6666666666667</v>
      </c>
    </row>
    <row r="10" customFormat="false" ht="12.8" hidden="false" customHeight="false" outlineLevel="0" collapsed="false">
      <c r="A10" s="14" t="s">
        <v>76</v>
      </c>
      <c r="B10" s="48" t="n">
        <f aca="false">B6-Supuestos!B12</f>
        <v>40</v>
      </c>
      <c r="C10" s="48" t="n">
        <f aca="false">C6-Supuestos!C12</f>
        <v>44</v>
      </c>
      <c r="D10" s="48" t="n">
        <f aca="false">D6-Supuestos!D12</f>
        <v>55</v>
      </c>
    </row>
    <row r="11" customFormat="false" ht="12.8" hidden="false" customHeight="false" outlineLevel="0" collapsed="false">
      <c r="A11" s="44" t="s">
        <v>77</v>
      </c>
      <c r="B11" s="49" t="n">
        <f aca="false">B6*B9</f>
        <v>1285.71428571429</v>
      </c>
      <c r="C11" s="49" t="n">
        <f aca="false">C6*C9</f>
        <v>2450</v>
      </c>
      <c r="D11" s="49" t="n">
        <f aca="false">D6*D9</f>
        <v>4000</v>
      </c>
    </row>
    <row r="12" customFormat="false" ht="12.8" hidden="false" customHeight="false" outlineLevel="0" collapsed="false">
      <c r="A12" s="14" t="s">
        <v>78</v>
      </c>
      <c r="B12" s="48" t="n">
        <f aca="false">B10*B9</f>
        <v>1142.85714285714</v>
      </c>
      <c r="C12" s="48" t="n">
        <f aca="false">C10*C9</f>
        <v>2200</v>
      </c>
      <c r="D12" s="48" t="n">
        <f aca="false">D10*D9</f>
        <v>3666.66666666667</v>
      </c>
    </row>
    <row r="13" customFormat="false" ht="12.8" hidden="false" customHeight="false" outlineLevel="0" collapsed="false">
      <c r="A13" s="44" t="s">
        <v>79</v>
      </c>
      <c r="B13" s="50" t="n">
        <f aca="false">B12/B7</f>
        <v>7.61904761904762</v>
      </c>
      <c r="C13" s="50" t="n">
        <f aca="false">C12/C7</f>
        <v>18.3333333333333</v>
      </c>
      <c r="D13" s="50" t="n">
        <f aca="false">D12/D7</f>
        <v>38.5964912280702</v>
      </c>
    </row>
    <row r="14" customFormat="false" ht="12.8" hidden="false" customHeight="false" outlineLevel="0" collapsed="false">
      <c r="A14" s="14" t="s">
        <v>80</v>
      </c>
      <c r="B14" s="51" t="n">
        <f aca="false">B7/B10</f>
        <v>3.75</v>
      </c>
      <c r="C14" s="51" t="n">
        <f aca="false">C7/C10</f>
        <v>2.72727272727273</v>
      </c>
      <c r="D14" s="51" t="n">
        <f aca="false">D7/D10</f>
        <v>1.72727272727273</v>
      </c>
    </row>
    <row r="16" customFormat="false" ht="15" hidden="false" customHeight="false" outlineLevel="0" collapsed="false">
      <c r="A16" s="10" t="s">
        <v>81</v>
      </c>
    </row>
    <row r="17" customFormat="false" ht="12.8" hidden="false" customHeight="false" outlineLevel="0" collapsed="false">
      <c r="A17" s="12" t="s">
        <v>82</v>
      </c>
      <c r="B17" s="12"/>
      <c r="C17" s="12"/>
      <c r="D17" s="12"/>
    </row>
  </sheetData>
  <mergeCells count="2">
    <mergeCell ref="A3:D3"/>
    <mergeCell ref="A17:D17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4" min="2" style="1" width="16"/>
  </cols>
  <sheetData>
    <row r="1" customFormat="false" ht="19.7" hidden="false" customHeight="false" outlineLevel="0" collapsed="false">
      <c r="A1" s="2" t="s">
        <v>83</v>
      </c>
    </row>
    <row r="2" customFormat="false" ht="15" hidden="false" customHeight="false" outlineLevel="0" collapsed="false">
      <c r="A2" s="11" t="s">
        <v>84</v>
      </c>
    </row>
    <row r="4" customFormat="false" ht="15" hidden="false" customHeight="false" outlineLevel="0" collapsed="false">
      <c r="A4" s="13" t="s">
        <v>64</v>
      </c>
      <c r="B4" s="13" t="s">
        <v>14</v>
      </c>
      <c r="C4" s="13" t="s">
        <v>15</v>
      </c>
      <c r="D4" s="13" t="s">
        <v>16</v>
      </c>
    </row>
    <row r="5" customFormat="false" ht="15" hidden="false" customHeight="false" outlineLevel="0" collapsed="false">
      <c r="A5" s="14" t="s">
        <v>68</v>
      </c>
      <c r="B5" s="25" t="n">
        <f aca="false">Mensual_Conservador!E16</f>
        <v>71280.1083676176</v>
      </c>
      <c r="C5" s="25" t="n">
        <f aca="false">Mensual_Base!E16</f>
        <v>149657.238121741</v>
      </c>
      <c r="D5" s="25" t="n">
        <f aca="false">Mensual_Agresivo!E16</f>
        <v>388303.699243977</v>
      </c>
    </row>
    <row r="6" customFormat="false" ht="15" hidden="false" customHeight="false" outlineLevel="0" collapsed="false">
      <c r="A6" s="14" t="s">
        <v>69</v>
      </c>
      <c r="B6" s="25" t="n">
        <f aca="false">Mensual_Conservador!E28</f>
        <v>100156.068610279</v>
      </c>
      <c r="C6" s="25" t="n">
        <f aca="false">Mensual_Base!E28</f>
        <v>244025.104026029</v>
      </c>
      <c r="D6" s="25" t="n">
        <f aca="false">Mensual_Agresivo!E28</f>
        <v>682171.477348128</v>
      </c>
    </row>
    <row r="7" customFormat="false" ht="15" hidden="false" customHeight="false" outlineLevel="0" collapsed="false">
      <c r="A7" s="14" t="s">
        <v>70</v>
      </c>
      <c r="B7" s="25" t="n">
        <f aca="false">Mensual_Conservador!E40</f>
        <v>118986.670220676</v>
      </c>
      <c r="C7" s="25" t="n">
        <f aca="false">Mensual_Base!E40</f>
        <v>318077.146584287</v>
      </c>
      <c r="D7" s="25" t="n">
        <f aca="false">Mensual_Agresivo!E40</f>
        <v>927295.985530103</v>
      </c>
    </row>
    <row r="9" customFormat="false" ht="15" hidden="false" customHeight="false" outlineLevel="0" collapsed="false">
      <c r="A9" s="12" t="s">
        <v>85</v>
      </c>
      <c r="B9" s="12"/>
      <c r="C9" s="12"/>
      <c r="D9" s="12"/>
    </row>
  </sheetData>
  <mergeCells count="1">
    <mergeCell ref="A9:D9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F24" activeCellId="0" sqref="F2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5" min="2" style="1" width="14"/>
  </cols>
  <sheetData>
    <row r="1" customFormat="false" ht="19.7" hidden="false" customHeight="false" outlineLevel="0" collapsed="false">
      <c r="A1" s="2" t="s">
        <v>86</v>
      </c>
    </row>
    <row r="2" customFormat="false" ht="15" hidden="false" customHeight="false" outlineLevel="0" collapsed="false">
      <c r="A2" s="11" t="s">
        <v>87</v>
      </c>
    </row>
    <row r="4" customFormat="false" ht="15" hidden="false" customHeight="false" outlineLevel="0" collapsed="false">
      <c r="A4" s="13" t="s">
        <v>88</v>
      </c>
      <c r="B4" s="13" t="s">
        <v>89</v>
      </c>
      <c r="C4" s="13" t="s">
        <v>90</v>
      </c>
      <c r="D4" s="13" t="s">
        <v>91</v>
      </c>
      <c r="E4" s="13" t="s">
        <v>92</v>
      </c>
    </row>
    <row r="5" customFormat="false" ht="15" hidden="false" customHeight="false" outlineLevel="0" collapsed="false">
      <c r="A5" s="14" t="s">
        <v>93</v>
      </c>
      <c r="B5" s="19" t="n">
        <v>20000</v>
      </c>
      <c r="C5" s="19" t="n">
        <v>35000</v>
      </c>
      <c r="D5" s="19" t="n">
        <v>75000</v>
      </c>
      <c r="E5" s="19" t="n">
        <v>125000</v>
      </c>
    </row>
    <row r="6" customFormat="false" ht="15" hidden="false" customHeight="false" outlineLevel="0" collapsed="false">
      <c r="A6" s="14" t="s">
        <v>94</v>
      </c>
      <c r="B6" s="19" t="n">
        <v>12500</v>
      </c>
      <c r="C6" s="19" t="n">
        <v>30000</v>
      </c>
      <c r="D6" s="19" t="n">
        <v>87500</v>
      </c>
      <c r="E6" s="19" t="n">
        <v>175000</v>
      </c>
    </row>
    <row r="7" customFormat="false" ht="15" hidden="false" customHeight="false" outlineLevel="0" collapsed="false">
      <c r="A7" s="14" t="s">
        <v>95</v>
      </c>
      <c r="B7" s="19" t="n">
        <v>10000</v>
      </c>
      <c r="C7" s="19" t="n">
        <v>20000</v>
      </c>
      <c r="D7" s="19" t="n">
        <v>62500</v>
      </c>
      <c r="E7" s="19" t="n">
        <v>150000</v>
      </c>
    </row>
    <row r="8" customFormat="false" ht="15" hidden="false" customHeight="false" outlineLevel="0" collapsed="false">
      <c r="A8" s="14" t="s">
        <v>96</v>
      </c>
      <c r="B8" s="19" t="n">
        <v>5000</v>
      </c>
      <c r="C8" s="19" t="n">
        <v>10000</v>
      </c>
      <c r="D8" s="19" t="n">
        <v>25000</v>
      </c>
      <c r="E8" s="19" t="n">
        <v>50000</v>
      </c>
    </row>
    <row r="9" customFormat="false" ht="15" hidden="false" customHeight="false" outlineLevel="0" collapsed="false">
      <c r="A9" s="14" t="s">
        <v>97</v>
      </c>
      <c r="B9" s="19" t="n">
        <v>2500</v>
      </c>
      <c r="C9" s="19" t="n">
        <v>5000</v>
      </c>
      <c r="D9" s="19" t="n">
        <v>0</v>
      </c>
      <c r="E9" s="19" t="n">
        <v>0</v>
      </c>
    </row>
    <row r="10" customFormat="false" ht="15" hidden="false" customHeight="false" outlineLevel="0" collapsed="false">
      <c r="A10" s="52" t="s">
        <v>98</v>
      </c>
      <c r="B10" s="53" t="n">
        <f aca="false">SUM(B5:B9)</f>
        <v>50000</v>
      </c>
      <c r="C10" s="53" t="n">
        <f aca="false">SUM(C5:C9)</f>
        <v>100000</v>
      </c>
      <c r="D10" s="53" t="n">
        <f aca="false">SUM(D5:D9)</f>
        <v>250000</v>
      </c>
      <c r="E10" s="53" t="n">
        <f aca="false">SUM(E5:E9)</f>
        <v>500000</v>
      </c>
    </row>
    <row r="12" customFormat="false" ht="15" hidden="false" customHeight="false" outlineLevel="0" collapsed="false">
      <c r="A12" s="10" t="s">
        <v>99</v>
      </c>
    </row>
    <row r="13" customFormat="false" ht="15" hidden="false" customHeight="false" outlineLevel="0" collapsed="false">
      <c r="A13" s="13" t="s">
        <v>88</v>
      </c>
      <c r="B13" s="13" t="s">
        <v>89</v>
      </c>
      <c r="C13" s="13" t="s">
        <v>90</v>
      </c>
      <c r="D13" s="13" t="s">
        <v>91</v>
      </c>
      <c r="E13" s="13" t="s">
        <v>92</v>
      </c>
    </row>
    <row r="14" customFormat="false" ht="15" hidden="false" customHeight="false" outlineLevel="0" collapsed="false">
      <c r="A14" s="14" t="s">
        <v>93</v>
      </c>
      <c r="B14" s="34" t="n">
        <f aca="false">B5/B10</f>
        <v>0.4</v>
      </c>
      <c r="C14" s="34" t="n">
        <f aca="false">C5/C10</f>
        <v>0.35</v>
      </c>
      <c r="D14" s="34" t="n">
        <f aca="false">D5/D10</f>
        <v>0.3</v>
      </c>
      <c r="E14" s="34" t="n">
        <f aca="false">E5/E10</f>
        <v>0.25</v>
      </c>
    </row>
    <row r="15" customFormat="false" ht="15" hidden="false" customHeight="false" outlineLevel="0" collapsed="false">
      <c r="A15" s="44" t="s">
        <v>94</v>
      </c>
      <c r="B15" s="37" t="n">
        <f aca="false">B6/B10</f>
        <v>0.25</v>
      </c>
      <c r="C15" s="37" t="n">
        <f aca="false">C6/C10</f>
        <v>0.3</v>
      </c>
      <c r="D15" s="37" t="n">
        <f aca="false">D6/D10</f>
        <v>0.35</v>
      </c>
      <c r="E15" s="37" t="n">
        <f aca="false">E6/E10</f>
        <v>0.35</v>
      </c>
    </row>
    <row r="16" customFormat="false" ht="15" hidden="false" customHeight="false" outlineLevel="0" collapsed="false">
      <c r="A16" s="14" t="s">
        <v>95</v>
      </c>
      <c r="B16" s="34" t="n">
        <f aca="false">B7/B10</f>
        <v>0.2</v>
      </c>
      <c r="C16" s="34" t="n">
        <f aca="false">C7/C10</f>
        <v>0.2</v>
      </c>
      <c r="D16" s="34" t="n">
        <f aca="false">D7/D10</f>
        <v>0.25</v>
      </c>
      <c r="E16" s="34" t="n">
        <f aca="false">E7/E10</f>
        <v>0.3</v>
      </c>
    </row>
    <row r="17" customFormat="false" ht="15" hidden="false" customHeight="false" outlineLevel="0" collapsed="false">
      <c r="A17" s="44" t="s">
        <v>96</v>
      </c>
      <c r="B17" s="37" t="n">
        <f aca="false">B8/B10</f>
        <v>0.1</v>
      </c>
      <c r="C17" s="37" t="n">
        <f aca="false">C8/C10</f>
        <v>0.1</v>
      </c>
      <c r="D17" s="37" t="n">
        <f aca="false">D8/D10</f>
        <v>0.1</v>
      </c>
      <c r="E17" s="37" t="n">
        <f aca="false">E8/E10</f>
        <v>0.1</v>
      </c>
    </row>
    <row r="18" customFormat="false" ht="15" hidden="false" customHeight="false" outlineLevel="0" collapsed="false">
      <c r="A18" s="14" t="s">
        <v>97</v>
      </c>
      <c r="B18" s="34" t="n">
        <f aca="false">B9/B10</f>
        <v>0.05</v>
      </c>
      <c r="C18" s="34" t="n">
        <f aca="false">C9/C10</f>
        <v>0.05</v>
      </c>
      <c r="D18" s="34" t="n">
        <f aca="false">D9/D10</f>
        <v>0</v>
      </c>
      <c r="E18" s="34" t="n">
        <f aca="false">E9/E10</f>
        <v>0</v>
      </c>
    </row>
    <row r="20" customFormat="false" ht="15" hidden="false" customHeight="false" outlineLevel="0" collapsed="false">
      <c r="A20" s="10" t="s">
        <v>100</v>
      </c>
    </row>
    <row r="21" customFormat="false" ht="23.85" hidden="false" customHeight="true" outlineLevel="0" collapsed="false">
      <c r="A21" s="13" t="s">
        <v>101</v>
      </c>
      <c r="B21" s="13" t="s">
        <v>102</v>
      </c>
      <c r="C21" s="13"/>
      <c r="D21" s="13"/>
      <c r="E21" s="13"/>
    </row>
    <row r="22" customFormat="false" ht="42" hidden="false" customHeight="true" outlineLevel="0" collapsed="false">
      <c r="A22" s="54" t="s">
        <v>89</v>
      </c>
      <c r="B22" s="55" t="s">
        <v>103</v>
      </c>
      <c r="C22" s="55"/>
      <c r="D22" s="55"/>
      <c r="E22" s="55"/>
    </row>
    <row r="23" customFormat="false" ht="42" hidden="false" customHeight="true" outlineLevel="0" collapsed="false">
      <c r="A23" s="54" t="s">
        <v>90</v>
      </c>
      <c r="B23" s="55" t="s">
        <v>104</v>
      </c>
      <c r="C23" s="55"/>
      <c r="D23" s="55"/>
      <c r="E23" s="55"/>
    </row>
    <row r="24" customFormat="false" ht="42" hidden="false" customHeight="true" outlineLevel="0" collapsed="false">
      <c r="A24" s="54" t="s">
        <v>91</v>
      </c>
      <c r="B24" s="55" t="s">
        <v>105</v>
      </c>
      <c r="C24" s="55"/>
      <c r="D24" s="55"/>
      <c r="E24" s="55"/>
    </row>
    <row r="25" customFormat="false" ht="42" hidden="false" customHeight="true" outlineLevel="0" collapsed="false">
      <c r="A25" s="54" t="s">
        <v>92</v>
      </c>
      <c r="B25" s="55" t="s">
        <v>106</v>
      </c>
      <c r="C25" s="55"/>
      <c r="D25" s="55"/>
      <c r="E25" s="55"/>
    </row>
    <row r="27" customFormat="false" ht="15" hidden="false" customHeight="false" outlineLevel="0" collapsed="false">
      <c r="A27" s="12" t="s">
        <v>107</v>
      </c>
      <c r="B27" s="12"/>
      <c r="C27" s="12"/>
      <c r="D27" s="12"/>
      <c r="E27" s="12"/>
    </row>
  </sheetData>
  <mergeCells count="6">
    <mergeCell ref="B21:E21"/>
    <mergeCell ref="B22:E22"/>
    <mergeCell ref="B23:E23"/>
    <mergeCell ref="B24:E24"/>
    <mergeCell ref="B25:E25"/>
    <mergeCell ref="A27:E27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6"/>
  <sheetViews>
    <sheetView showFormulas="false" showGridLines="false" showRowColHeaders="true" showZeros="true" rightToLeft="false" tabSelected="true" showOutlineSymbols="true" defaultGridColor="true" view="normal" topLeftCell="A14" colorId="64" zoomScale="100" zoomScaleNormal="100" zoomScalePageLayoutView="100" workbookViewId="0">
      <selection pane="topLeft" activeCell="C29" activeCellId="0" sqref="C29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3.36"/>
    <col collapsed="false" customWidth="true" hidden="false" outlineLevel="0" max="2" min="2" style="1" width="50.51"/>
    <col collapsed="false" customWidth="true" hidden="false" outlineLevel="0" max="3" min="3" style="1" width="40.32"/>
    <col collapsed="false" customWidth="true" hidden="false" outlineLevel="0" max="5" min="4" style="1" width="18"/>
    <col collapsed="false" customWidth="true" hidden="true" outlineLevel="0" max="6" min="6" style="1" width="18"/>
  </cols>
  <sheetData>
    <row r="1" customFormat="false" ht="19.7" hidden="false" customHeight="false" outlineLevel="0" collapsed="false">
      <c r="A1" s="2" t="s">
        <v>108</v>
      </c>
    </row>
    <row r="2" customFormat="false" ht="15" hidden="false" customHeight="false" outlineLevel="0" collapsed="false">
      <c r="A2" s="11" t="s">
        <v>109</v>
      </c>
    </row>
    <row r="3" customFormat="false" ht="15" hidden="false" customHeight="false" outlineLevel="0" collapsed="false">
      <c r="A3" s="10" t="s">
        <v>110</v>
      </c>
    </row>
    <row r="5" customFormat="false" ht="48" hidden="false" customHeight="true" outlineLevel="0" collapsed="false">
      <c r="A5" s="56" t="s">
        <v>111</v>
      </c>
      <c r="B5" s="56"/>
      <c r="C5" s="56"/>
      <c r="D5" s="56"/>
      <c r="E5" s="56"/>
      <c r="F5" s="56"/>
    </row>
    <row r="7" customFormat="false" ht="48" hidden="false" customHeight="true" outlineLevel="0" collapsed="false">
      <c r="A7" s="56" t="s">
        <v>112</v>
      </c>
      <c r="B7" s="56"/>
      <c r="C7" s="56"/>
      <c r="D7" s="56"/>
      <c r="E7" s="56"/>
      <c r="F7" s="56"/>
    </row>
    <row r="9" customFormat="false" ht="48" hidden="false" customHeight="true" outlineLevel="0" collapsed="false">
      <c r="A9" s="56" t="s">
        <v>113</v>
      </c>
      <c r="B9" s="56"/>
      <c r="C9" s="56"/>
      <c r="D9" s="56"/>
      <c r="E9" s="56"/>
      <c r="F9" s="56"/>
    </row>
    <row r="11" customFormat="false" ht="48" hidden="false" customHeight="true" outlineLevel="0" collapsed="false">
      <c r="A11" s="56" t="s">
        <v>114</v>
      </c>
      <c r="B11" s="56"/>
      <c r="C11" s="56"/>
      <c r="D11" s="56"/>
      <c r="E11" s="56"/>
      <c r="F11" s="56"/>
    </row>
    <row r="14" customFormat="false" ht="15" hidden="false" customHeight="false" outlineLevel="0" collapsed="false">
      <c r="A14" s="10" t="s">
        <v>115</v>
      </c>
    </row>
    <row r="15" customFormat="false" ht="15" hidden="false" customHeight="true" outlineLevel="0" collapsed="false">
      <c r="A15" s="13" t="s">
        <v>116</v>
      </c>
      <c r="B15" s="13" t="s">
        <v>117</v>
      </c>
      <c r="C15" s="13" t="s">
        <v>118</v>
      </c>
      <c r="D15" s="13"/>
      <c r="E15" s="13"/>
      <c r="F15" s="13"/>
    </row>
    <row r="16" customFormat="false" ht="27.75" hidden="false" customHeight="true" outlineLevel="0" collapsed="false">
      <c r="A16" s="14" t="s">
        <v>119</v>
      </c>
      <c r="B16" s="57" t="s">
        <v>120</v>
      </c>
      <c r="C16" s="58" t="s">
        <v>121</v>
      </c>
      <c r="D16" s="58"/>
      <c r="E16" s="58"/>
      <c r="F16" s="58"/>
    </row>
    <row r="17" customFormat="false" ht="27.75" hidden="false" customHeight="true" outlineLevel="0" collapsed="false">
      <c r="A17" s="44" t="s">
        <v>122</v>
      </c>
      <c r="B17" s="59" t="s">
        <v>123</v>
      </c>
      <c r="C17" s="60" t="s">
        <v>124</v>
      </c>
      <c r="D17" s="60"/>
      <c r="E17" s="60"/>
      <c r="F17" s="60"/>
    </row>
    <row r="18" customFormat="false" ht="27.75" hidden="false" customHeight="true" outlineLevel="0" collapsed="false">
      <c r="A18" s="14" t="s">
        <v>125</v>
      </c>
      <c r="B18" s="57" t="s">
        <v>126</v>
      </c>
      <c r="C18" s="58" t="s">
        <v>127</v>
      </c>
      <c r="D18" s="58"/>
      <c r="E18" s="58"/>
      <c r="F18" s="58"/>
    </row>
    <row r="19" customFormat="false" ht="27.75" hidden="false" customHeight="true" outlineLevel="0" collapsed="false">
      <c r="A19" s="44" t="s">
        <v>128</v>
      </c>
      <c r="B19" s="59" t="s">
        <v>129</v>
      </c>
      <c r="C19" s="60" t="s">
        <v>130</v>
      </c>
      <c r="D19" s="60"/>
      <c r="E19" s="60"/>
      <c r="F19" s="60"/>
    </row>
    <row r="20" customFormat="false" ht="27.75" hidden="false" customHeight="true" outlineLevel="0" collapsed="false">
      <c r="A20" s="14" t="s">
        <v>131</v>
      </c>
      <c r="B20" s="57" t="s">
        <v>132</v>
      </c>
      <c r="C20" s="58" t="s">
        <v>133</v>
      </c>
      <c r="D20" s="58"/>
      <c r="E20" s="58"/>
      <c r="F20" s="58"/>
    </row>
    <row r="21" customFormat="false" ht="27.75" hidden="false" customHeight="true" outlineLevel="0" collapsed="false">
      <c r="A21" s="44" t="s">
        <v>134</v>
      </c>
      <c r="B21" s="59" t="s">
        <v>135</v>
      </c>
      <c r="C21" s="60" t="s">
        <v>136</v>
      </c>
      <c r="D21" s="60"/>
      <c r="E21" s="60"/>
      <c r="F21" s="60"/>
    </row>
    <row r="22" customFormat="false" ht="27.75" hidden="false" customHeight="true" outlineLevel="0" collapsed="false">
      <c r="A22" s="14" t="s">
        <v>137</v>
      </c>
      <c r="B22" s="57" t="s">
        <v>138</v>
      </c>
      <c r="C22" s="58" t="s">
        <v>139</v>
      </c>
      <c r="D22" s="58"/>
      <c r="E22" s="58"/>
      <c r="F22" s="58"/>
    </row>
    <row r="23" customFormat="false" ht="27.75" hidden="false" customHeight="true" outlineLevel="0" collapsed="false">
      <c r="A23" s="44" t="s">
        <v>140</v>
      </c>
      <c r="B23" s="59" t="s">
        <v>141</v>
      </c>
      <c r="C23" s="60" t="s">
        <v>142</v>
      </c>
      <c r="D23" s="60"/>
      <c r="E23" s="60"/>
      <c r="F23" s="60"/>
    </row>
    <row r="24" customFormat="false" ht="27.75" hidden="false" customHeight="true" outlineLevel="0" collapsed="false">
      <c r="A24" s="14" t="s">
        <v>143</v>
      </c>
      <c r="B24" s="57" t="s">
        <v>144</v>
      </c>
      <c r="C24" s="58" t="s">
        <v>145</v>
      </c>
      <c r="D24" s="58"/>
      <c r="E24" s="58"/>
      <c r="F24" s="58"/>
    </row>
    <row r="26" customFormat="false" ht="15" hidden="false" customHeight="false" outlineLevel="0" collapsed="false">
      <c r="A26" s="12" t="s">
        <v>146</v>
      </c>
      <c r="B26" s="12"/>
      <c r="C26" s="12"/>
      <c r="D26" s="12"/>
      <c r="E26" s="12"/>
      <c r="F26" s="12"/>
    </row>
  </sheetData>
  <mergeCells count="15">
    <mergeCell ref="A5:F5"/>
    <mergeCell ref="A7:F7"/>
    <mergeCell ref="A9:F9"/>
    <mergeCell ref="A11:F11"/>
    <mergeCell ref="C15:F15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A26:F26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7992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2026-06-16T18:18:47Z</dcterms:created>
  <dc:creator>openpyxl</dc:creator>
  <dc:description/>
  <dc:language>en-US</dc:language>
  <cp:lastModifiedBy/>
  <dcterms:modified xsi:type="dcterms:W3CDTF">2026-06-22T13:09:57Z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